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Resumen" sheetId="2" r:id="rId5"/>
    <sheet state="visible" name="Datos de prueba" sheetId="3" r:id="rId6"/>
    <sheet state="visible" name="Pruebas funcionales" sheetId="4" r:id="rId7"/>
    <sheet state="visible" name="Pruebas no funcionales" sheetId="5" r:id="rId8"/>
    <sheet state="visible" name="Hallazgos" sheetId="6" r:id="rId9"/>
  </sheets>
  <definedNames>
    <definedName hidden="1" localSheetId="3" name="_xlnm._FilterDatabase">'Pruebas funcionales'!$A$1:$M$257</definedName>
    <definedName hidden="1" localSheetId="4" name="_xlnm._FilterDatabase">'Pruebas no funcionales'!$A$1:$M$64</definedName>
  </definedNames>
  <calcPr/>
  <extLst>
    <ext uri="GoogleSheetsCustomDataVersion2">
      <go:sheetsCustomData xmlns:go="http://customooxmlschemas.google.com/" r:id="rId10" roundtripDataChecksum="cE90WtLa1ML0DfcWS4mIDzKZZpOg84BX5XJlaZwMQ9I="/>
    </ext>
  </extLst>
</workbook>
</file>

<file path=xl/sharedStrings.xml><?xml version="1.0" encoding="utf-8"?>
<sst xmlns="http://schemas.openxmlformats.org/spreadsheetml/2006/main" count="3837" uniqueCount="1743">
  <si>
    <t>Resumen de ejecución</t>
  </si>
  <si>
    <t>KineFit — Plan de pruebas del entorno de pruebas</t>
  </si>
  <si>
    <t>Indicador</t>
  </si>
  <si>
    <t>Set de datos determinista del entorno de pruebas</t>
  </si>
  <si>
    <t>Funcionales</t>
  </si>
  <si>
    <t>Entidad</t>
  </si>
  <si>
    <t>No funcionales</t>
  </si>
  <si>
    <t>Total</t>
  </si>
  <si>
    <t>Registro</t>
  </si>
  <si>
    <t>Este plan es el criterio de salida a producción. Si se completa según lo definido aquí, el sistema está listo para producción; si no se completa, no sale.</t>
  </si>
  <si>
    <t>Detalle</t>
  </si>
  <si>
    <t>Casos totales</t>
  </si>
  <si>
    <t>Servicios</t>
  </si>
  <si>
    <t>Cómo se usa</t>
  </si>
  <si>
    <t>Masajes</t>
  </si>
  <si>
    <t>Activo. Duración 60 minutos.</t>
  </si>
  <si>
    <t>1. Sembrar la base del entorno de pruebas con seed_pruebas.sql antes de cada ronda.</t>
  </si>
  <si>
    <t>Masajes Premium</t>
  </si>
  <si>
    <t>2. Ejecutar los casos en el orden de las hojas. Cada ejecutor completa sólo las filas donde figura como responsable.</t>
  </si>
  <si>
    <t>Activo. Duración 90 minutos.</t>
  </si>
  <si>
    <t>ID</t>
  </si>
  <si>
    <t>3. Registrar el resultado en la columna Resultado y adjuntar evidencia: captura, registro o enlace.</t>
  </si>
  <si>
    <t>Masajes en pareja</t>
  </si>
  <si>
    <t>4. Todo caso Fallido genera una fila en la hoja Hallazgos con su severidad.</t>
  </si>
  <si>
    <t>Masajes Reductivos</t>
  </si>
  <si>
    <t>5. Corregido el hallazgo, el caso se vuelve a ejecutar. No se marca Aprobado sin repetir la prueba.</t>
  </si>
  <si>
    <t>Historia</t>
  </si>
  <si>
    <t>Activo. Duración 30 minutos.</t>
  </si>
  <si>
    <t>Módulo</t>
  </si>
  <si>
    <t>Caso de prueba</t>
  </si>
  <si>
    <t>Embarazadas</t>
  </si>
  <si>
    <t>Responsables</t>
  </si>
  <si>
    <t>Precondición</t>
  </si>
  <si>
    <t>Pasos</t>
  </si>
  <si>
    <t>Kinesiología</t>
  </si>
  <si>
    <t>Maxi — pruebas funcionales del panel, ventas, fichas y documentos.</t>
  </si>
  <si>
    <t>Datos de entrada</t>
  </si>
  <si>
    <t>Inactivo al sembrar, para probar su activación.</t>
  </si>
  <si>
    <t>Jhoan — pruebas funcionales del sitio público y de la configuración de contenido.</t>
  </si>
  <si>
    <t>Voucher para Regalo</t>
  </si>
  <si>
    <t>Claude — pruebas técnicas: concurrencia, carga, autorización, seguridad y auditoría del sitio.</t>
  </si>
  <si>
    <t>Activo, sin duración.</t>
  </si>
  <si>
    <t>Resultado esperado</t>
  </si>
  <si>
    <t>Especialistas</t>
  </si>
  <si>
    <t>Severidad si falla</t>
  </si>
  <si>
    <t>Especialista A</t>
  </si>
  <si>
    <t>Jornada completa. Habilitada en todos los servicios.</t>
  </si>
  <si>
    <t>Criterio de severidad</t>
  </si>
  <si>
    <t>Responsable</t>
  </si>
  <si>
    <t>Bloqueante — impide operar, pierde dinero o pierde datos. Doble reserva, cobro mal calculado, ficha que no guarda, secreto expuesto, caída del servicio. Tolerancia cero.</t>
  </si>
  <si>
    <t>Resultado</t>
  </si>
  <si>
    <t>Especialista B</t>
  </si>
  <si>
    <t>Evidencia</t>
  </si>
  <si>
    <t>09:00 a 17:00. Habilitada sólo en masoterapia.</t>
  </si>
  <si>
    <t>Observaciones</t>
  </si>
  <si>
    <t>Crítico — funcionalidad central rota, aunque exista una vía alternativa. Tolerancia cero.</t>
  </si>
  <si>
    <t>Especialista C</t>
  </si>
  <si>
    <t>PF-001</t>
  </si>
  <si>
    <t>Mayor — funciona pero de forma incorrecta o incómoda. Se acepta pasar con un máximo acordado y fecha de corrección comprometida.</t>
  </si>
  <si>
    <t>AUT-001</t>
  </si>
  <si>
    <t>Autenticación paciente</t>
  </si>
  <si>
    <t>18:00 a 21:00. Habilitada en masoterapia y kinesiología.</t>
  </si>
  <si>
    <t>Navegar el flujo completo sin sesión iniciada</t>
  </si>
  <si>
    <t>Menor — cosmético o de conveniencia. No bloquea la salida.</t>
  </si>
  <si>
    <t>Formulario de reserva habilitado</t>
  </si>
  <si>
    <t>Cuentas</t>
  </si>
  <si>
    <t>Administrador</t>
  </si>
  <si>
    <t>Abrir el sitio sin sesión. Seleccionar servicio, fecha, hora y especialista.</t>
  </si>
  <si>
    <t>Cuenta de administrador del entorno de pruebas.</t>
  </si>
  <si>
    <t>Servicio: Masajes</t>
  </si>
  <si>
    <t>El flujo avanza hasta el último paso sin pedir sesión en ningún momento</t>
  </si>
  <si>
    <t>Mayor</t>
  </si>
  <si>
    <t>Especialista A y B</t>
  </si>
  <si>
    <t>Maxi</t>
  </si>
  <si>
    <t>Pendientes</t>
  </si>
  <si>
    <t>Criterio de cierre</t>
  </si>
  <si>
    <t>Cuentas de especialista, para probar accesos cruzados.</t>
  </si>
  <si>
    <t>Pacientes</t>
  </si>
  <si>
    <t>Paciente web</t>
  </si>
  <si>
    <t>El plan se declara aprobado cuando no queda ningún caso pendiente, ningún hallazgo bloqueante abierto y ningún hallazgo crítico abierto. La hoja Resumen lo calcula sola.</t>
  </si>
  <si>
    <t>Registrado con Google, con RUT y teléfono completos.</t>
  </si>
  <si>
    <t>Aprobado</t>
  </si>
  <si>
    <t>Paciente manual</t>
  </si>
  <si>
    <t>Registrado por el personal, sin cuenta de Google, mismo RUT que el anterior para probar la vinculación.</t>
  </si>
  <si>
    <t>Alcance</t>
  </si>
  <si>
    <t>Paciente con convenio</t>
  </si>
  <si>
    <t>Todos los casos derivan de las historias de usuario v-final. Cada fila indica en la columna Historia de cuál proviene.</t>
  </si>
  <si>
    <t>Afiliado a un convenio vigente.</t>
  </si>
  <si>
    <t>Todo funciona de manera correcta, el problema que queda pendiente es que permite el ingreso de una hora que ya no esta disponible, la idea es implementar un aviso de que esa hora ya no esta disponible o quitar los bloques directamente. Ademas pendiente mejorar estilo visual (cambiar estilo de ia)</t>
  </si>
  <si>
    <t>Las reservas del sitio permanecen desactivadas en producción durante la marcha blanca, pero el flujo de reserva se prueba completo en el entorno de pruebas.</t>
  </si>
  <si>
    <t>Paciente con convenio vencido</t>
  </si>
  <si>
    <t>Afiliado a un convenio fuera de vigencia.</t>
  </si>
  <si>
    <t>PF-002</t>
  </si>
  <si>
    <t>Convenios</t>
  </si>
  <si>
    <t>Convenio vigente</t>
  </si>
  <si>
    <t>Descuento en masoterapia, sin descuento en kinesiología.</t>
  </si>
  <si>
    <t>Solicitud de sesión al confirmar la reserva</t>
  </si>
  <si>
    <t>Flujo completado hasta selección de especialista</t>
  </si>
  <si>
    <t>Convenio vencido</t>
  </si>
  <si>
    <t>Aprobados</t>
  </si>
  <si>
    <t>Vigencia terminada el día anterior.</t>
  </si>
  <si>
    <t>Presionar confirmar reserva</t>
  </si>
  <si>
    <t>-</t>
  </si>
  <si>
    <t>El sistema muestra el aviso de inicio de sesión con Google antes de pasar al pago</t>
  </si>
  <si>
    <t>Terminales</t>
  </si>
  <si>
    <t>Crítico</t>
  </si>
  <si>
    <t>Terminal porcentual</t>
  </si>
  <si>
    <t>Comisión porcentual distinta para débito y crédito.</t>
  </si>
  <si>
    <t>Terminal mixto</t>
  </si>
  <si>
    <t>Porcentaje más cargo fijo, con impuesto sobre la comisión.</t>
  </si>
  <si>
    <t>Reparto</t>
  </si>
  <si>
    <t>Acuerdo vigente</t>
  </si>
  <si>
    <t>50% para la profesional desde una fecha anterior.</t>
  </si>
  <si>
    <t>Failed to load resource: net::ERR_BLOCKED_BY_CLIENT
5client:87 [GSI_LOGGER]: google.accounts.id.initialize() is called multiple times. This could cause unexpected behavior and only the last initialized instance will be used.
_.G @ client:87
play.google.com/log?hasfast=true&amp;authuser=0&amp;format=json:1  Failed to load resource: net::ERR_BLOCKED_BY_CLIENT
client:391 Cross-Origin-Opener-Policy policy would block the window.postMessage call.
fv @ client:391
client:391 Cross-Origin-Opener-Policy policy would block the window.postMessage call.
fv @ client:391
api-test.kinefitchile.com/api/auth/google:1  Failed to load resource: the server responded with a status of 401 (Unauthorized)
play.google.com/log?format=json&amp;hasfast=true&amp;authuser=0:1  Failed to load resource: net::ERR_BLOCKED_BY_CLIENT. Request failed with status code 401</t>
  </si>
  <si>
    <t>Acuerdo anterior</t>
  </si>
  <si>
    <t>PF-003</t>
  </si>
  <si>
    <t>40% con vigencia terminada, para probar el histórico.</t>
  </si>
  <si>
    <t>Alta de paciente nuevo desde Google</t>
  </si>
  <si>
    <t>Impuesto</t>
  </si>
  <si>
    <t>Fallidos</t>
  </si>
  <si>
    <t>Tasa vigente</t>
  </si>
  <si>
    <t>Cuenta de Google sin paciente asociado</t>
  </si>
  <si>
    <t>19% desde una fecha anterior a todas las ventas sembradas.</t>
  </si>
  <si>
    <t>Iniciar sesión con una cuenta de Google no registrada</t>
  </si>
  <si>
    <t>Formatos</t>
  </si>
  <si>
    <t>Formato por constructor</t>
  </si>
  <si>
    <t>Dos secciones y cinco campos, uno de cada tipo.</t>
  </si>
  <si>
    <t>Correo de prueba nuevo</t>
  </si>
  <si>
    <t>Formato desde documento</t>
  </si>
  <si>
    <t>Documento cargado con firma de paciente y de profesional.</t>
  </si>
  <si>
    <t>Se crea el registro de paciente vinculado a la identidad de Google</t>
  </si>
  <si>
    <t>Citas</t>
  </si>
  <si>
    <t>Cita confirmada con pago</t>
  </si>
  <si>
    <t>Para probar cancelación con advertencia de anticipo.</t>
  </si>
  <si>
    <t>Cita atendida sin ficha</t>
  </si>
  <si>
    <t>Para probar la creación de ficha.</t>
  </si>
  <si>
    <t>PF-004</t>
  </si>
  <si>
    <t>Cita con documento pendiente</t>
  </si>
  <si>
    <t>Para probar la carga en papel y el conteo de pendientes.</t>
  </si>
  <si>
    <t>Solicitud de RUT y teléfono en el primer ingreso</t>
  </si>
  <si>
    <t>Paciente nuevo autenticado</t>
  </si>
  <si>
    <t>Bloqueados</t>
  </si>
  <si>
    <t>Cita con documento firmado</t>
  </si>
  <si>
    <t>Observar el formulario posterior al inicio de sesión</t>
  </si>
  <si>
    <t>Para probar la firma del profesional.</t>
  </si>
  <si>
    <t>El sistema solicita RUT y teléfono antes de continuar al pago</t>
  </si>
  <si>
    <t>Bloqueos</t>
  </si>
  <si>
    <t>Bloqueo con motivo público</t>
  </si>
  <si>
    <t>Para verificar la exposición en el sitio.</t>
  </si>
  <si>
    <t>Bloqueo sin motivo público</t>
  </si>
  <si>
    <t>Para verificar que el motivo interno no se expone.</t>
  </si>
  <si>
    <t>PF-005</t>
  </si>
  <si>
    <t>Precarga de datos en reserva posterior</t>
  </si>
  <si>
    <t>Paciente ya registrado con RUT y teléfono</t>
  </si>
  <si>
    <t>Iniciar una segunda reserva con la misma cuenta</t>
  </si>
  <si>
    <t>RUT y teléfono aparecen precargados y no se vuelven a solicitar</t>
  </si>
  <si>
    <t>PF-006</t>
  </si>
  <si>
    <t>Rechazo de RUT inválido</t>
  </si>
  <si>
    <t>En el paso de datos personales</t>
  </si>
  <si>
    <t>Ingresar un RUT con dígito verificador incorrecto</t>
  </si>
  <si>
    <t>12.345.678-9</t>
  </si>
  <si>
    <t>El sistema rechaza el RUT y no permite continuar</t>
  </si>
  <si>
    <t>PF-007</t>
  </si>
  <si>
    <t>No aplica</t>
  </si>
  <si>
    <t>Token de Google inválido</t>
  </si>
  <si>
    <t>Enviar al backend un ID token manipulado</t>
  </si>
  <si>
    <t>Token alterado</t>
  </si>
  <si>
    <t>El backend rechaza la operación, no crea paciente y no ocupa bloques</t>
  </si>
  <si>
    <t>Bloqueante</t>
  </si>
  <si>
    <t>Claude</t>
  </si>
  <si>
    <t>Pendiente</t>
  </si>
  <si>
    <t>PF-008</t>
  </si>
  <si>
    <t>Sesión expirada al reservar</t>
  </si>
  <si>
    <t>Sesión de paciente vencida</t>
  </si>
  <si>
    <t>Intentar confirmar una reserva con la sesión vencida</t>
  </si>
  <si>
    <t>La operación se rechaza con mensaje claro y los bloques quedan disponibles</t>
  </si>
  <si>
    <t>Fallidos bloqueantes</t>
  </si>
  <si>
    <t>PF-009</t>
  </si>
  <si>
    <t>Aviso de tratamiento de datos</t>
  </si>
  <si>
    <t>Paciente nuevo</t>
  </si>
  <si>
    <t>Completar el alta de cuenta</t>
  </si>
  <si>
    <t>Se muestra el aviso de tratamiento de datos y se registra el consentimiento</t>
  </si>
  <si>
    <t>PF-010</t>
  </si>
  <si>
    <t>AGE-001</t>
  </si>
  <si>
    <t>Reserva web</t>
  </si>
  <si>
    <t>Orden del flujo</t>
  </si>
  <si>
    <t>Formulario habilitado</t>
  </si>
  <si>
    <t>Recorrer el flujo de reserva</t>
  </si>
  <si>
    <t>El orden es servicio, fecha, hora y finalmente especialista</t>
  </si>
  <si>
    <t>Fallidos críticos</t>
  </si>
  <si>
    <t>PF-011</t>
  </si>
  <si>
    <t>Catálogo publicado</t>
  </si>
  <si>
    <t>Servicios activos en el panel</t>
  </si>
  <si>
    <t>Abrir el selector de servicios</t>
  </si>
  <si>
    <t>Se listan todas las categorías al mismo nivel, sin subcategorías</t>
  </si>
  <si>
    <t>PF-012</t>
  </si>
  <si>
    <t>Servicio inactivo no se ofrece</t>
  </si>
  <si>
    <t>Un servicio desactivado en el panel</t>
  </si>
  <si>
    <t>Fallidos mayores</t>
  </si>
  <si>
    <t>Kinesiología inactiva</t>
  </si>
  <si>
    <t>El servicio inactivo no aparece en el selector</t>
  </si>
  <si>
    <t>PF-013</t>
  </si>
  <si>
    <t>Activación de servicio se refleja en el sitio</t>
  </si>
  <si>
    <t>Servicio inactivo</t>
  </si>
  <si>
    <t>Activarlo en el panel y recargar el sitio</t>
  </si>
  <si>
    <t>El servicio aparece disponible para agendamiento sin redesplegar</t>
  </si>
  <si>
    <t>Avance de ejecución</t>
  </si>
  <si>
    <t>Estado del plan</t>
  </si>
  <si>
    <t>Regla de cierre: cero pendientes, cero fallidos bloqueantes y cero fallidos críticos.</t>
  </si>
  <si>
    <t>PNF-001</t>
  </si>
  <si>
    <t>NFR-001</t>
  </si>
  <si>
    <t>Rendimiento</t>
  </si>
  <si>
    <t>Tiempo de respuesta del sitio público</t>
  </si>
  <si>
    <t>Entorno de pruebas desplegado</t>
  </si>
  <si>
    <t>Medir la carga de la portada y del selector de disponibilidad</t>
  </si>
  <si>
    <t>La página responde dentro del umbral acordado en carga normal</t>
  </si>
  <si>
    <t>PNF-002</t>
  </si>
  <si>
    <t>Tiempo de respuesta del panel</t>
  </si>
  <si>
    <t>Sesión de administrador</t>
  </si>
  <si>
    <t>Medir la carga de agenda, ventas y pacientes</t>
  </si>
  <si>
    <t>Las vistas responden sin degradar la operación diaria</t>
  </si>
  <si>
    <t>PNF-003</t>
  </si>
  <si>
    <t>Consulta de disponibilidad concurrente</t>
  </si>
  <si>
    <t>Agenda con datos</t>
  </si>
  <si>
    <t>Lanzar peticiones concurrentes sostenidas al endpoint de disponibilidad</t>
  </si>
  <si>
    <t>50 usuarios simultáneos</t>
  </si>
  <si>
    <t>No hay errores ni degradación perceptible</t>
  </si>
  <si>
    <t>PNF-004</t>
  </si>
  <si>
    <t>Fiabilidad</t>
  </si>
  <si>
    <t>Doble reserva simultánea</t>
  </si>
  <si>
    <t>Un bloque disponible</t>
  </si>
  <si>
    <t>Enviar dos confirmaciones simultáneas sobre el mismo bloque</t>
  </si>
  <si>
    <t>2 peticiones en paralelo</t>
  </si>
  <si>
    <t>Sólo una prospera; la otra recibe rechazo claro y no hay doble ocupación</t>
  </si>
  <si>
    <t>PNF-005</t>
  </si>
  <si>
    <t>Doble reserva en ráfaga</t>
  </si>
  <si>
    <t>Enviar veinte confirmaciones simultáneas sobre el mismo bloque</t>
  </si>
  <si>
    <t>20 peticiones</t>
  </si>
  <si>
    <t>Exactamente una cita queda registrada</t>
  </si>
  <si>
    <t>PNF-006</t>
  </si>
  <si>
    <t>Concurrencia sobre la misma cita</t>
  </si>
  <si>
    <t>Cita confirmada</t>
  </si>
  <si>
    <t>Dos usuarios del panel cambian su estado a la vez</t>
  </si>
  <si>
    <t>El resultado es consistente y queda una sola traza coherente</t>
  </si>
  <si>
    <t>PNF-007</t>
  </si>
  <si>
    <t>Caída de la pasarela</t>
  </si>
  <si>
    <t>Pasarela inaccesible</t>
  </si>
  <si>
    <t>Intentar pagar</t>
  </si>
  <si>
    <t>Se informa el problema, no quedan citas inconsistentes y los bloques se liberan</t>
  </si>
  <si>
    <t>PNF-008</t>
  </si>
  <si>
    <t>Caída del almacenamiento de imágenes</t>
  </si>
  <si>
    <t>Servicio inaccesible</t>
  </si>
  <si>
    <t>Abrir el sitio</t>
  </si>
  <si>
    <t>El sitio sigue operativo y no muestra errores visibles</t>
  </si>
  <si>
    <t>PNF-009</t>
  </si>
  <si>
    <t>Fallo del servicio de correo</t>
  </si>
  <si>
    <t>Confirmar una cita</t>
  </si>
  <si>
    <t>La cita se confirma y el envío queda registrado como fallido para reintento</t>
  </si>
  <si>
    <t>PNF-010</t>
  </si>
  <si>
    <t>Errores sin fuga de información</t>
  </si>
  <si>
    <t>Provocar un error del servidor</t>
  </si>
  <si>
    <t>El mensaje al usuario no expone trazas internas ni datos sensibles</t>
  </si>
  <si>
    <t>PNF-011</t>
  </si>
  <si>
    <t>Consola limpia</t>
  </si>
  <si>
    <t>Sitio y panel desplegados</t>
  </si>
  <si>
    <t>Recorrer las vistas principales revisando la consola</t>
  </si>
  <si>
    <t>No hay errores en la consola del navegador</t>
  </si>
  <si>
    <t>PNF-012</t>
  </si>
  <si>
    <t>Caso de origen</t>
  </si>
  <si>
    <t>Descripción del hallazgo</t>
  </si>
  <si>
    <t>Usabilidad</t>
  </si>
  <si>
    <t>Severidad</t>
  </si>
  <si>
    <t>Sitio en móvil</t>
  </si>
  <si>
    <t>Detectado por</t>
  </si>
  <si>
    <t>Sitio desplegado</t>
  </si>
  <si>
    <t>Fecha detección</t>
  </si>
  <si>
    <t>Recorrer el sitio en resolución móvil</t>
  </si>
  <si>
    <t>Responsable de corrección</t>
  </si>
  <si>
    <t>Estado</t>
  </si>
  <si>
    <t>Todo el contenido es legible y operable</t>
  </si>
  <si>
    <t>Fecha cierre</t>
  </si>
  <si>
    <t>Notas</t>
  </si>
  <si>
    <t>H-002</t>
  </si>
  <si>
    <t>PNF-013</t>
  </si>
  <si>
    <t>Firma en móvil</t>
  </si>
  <si>
    <t>Documento pendiente</t>
  </si>
  <si>
    <t>Abrir el enlace y firmar desde un teléfono</t>
  </si>
  <si>
    <t>El documento se lee y la firma se captura correctamente con el dedo</t>
  </si>
  <si>
    <t>Corregido</t>
  </si>
  <si>
    <t>PNF-014</t>
  </si>
  <si>
    <t>H-003</t>
  </si>
  <si>
    <t>Panel en tablet</t>
  </si>
  <si>
    <t>La autenticacion de google no funciona</t>
  </si>
  <si>
    <t>Sesión de especialista</t>
  </si>
  <si>
    <t>Operar agenda y fichas desde una tablet</t>
  </si>
  <si>
    <t>Las vistas son operables sin desplazamiento horizontal</t>
  </si>
  <si>
    <t>Verificado</t>
  </si>
  <si>
    <t>PNF-015</t>
  </si>
  <si>
    <t>H-004</t>
  </si>
  <si>
    <t>SEG-001</t>
  </si>
  <si>
    <t>Reserva en pagina web</t>
  </si>
  <si>
    <t>Autorización</t>
  </si>
  <si>
    <t>Endpoints protegidos sin sesión</t>
  </si>
  <si>
    <t>El formulario muestra datos no configurados o hardcodeados, como: 1. Todos los servicios dicen "Servicio Operativo" (si se va a mostrar una descripcion, que sea la que es configurada desde la configuracion de servicio) 2. Avisos e iconos con IA 3. Quitar placeholders innecesarios</t>
  </si>
  <si>
    <t>Solicitar endpoints del panel sin token</t>
  </si>
  <si>
    <t>Menor</t>
  </si>
  <si>
    <t>Todas las peticiones se rechazan</t>
  </si>
  <si>
    <t>PF-014</t>
  </si>
  <si>
    <t>H-005</t>
  </si>
  <si>
    <t>PNF-016</t>
  </si>
  <si>
    <t>Cada vez que una sesion expira, y se intenta volver a acceder sale este error: Panel Administrativo
Ha ocurrido un error inesperado. Inténtalo nuevamente.</t>
  </si>
  <si>
    <t>Bloques de 30 minutos desde las 09:00</t>
  </si>
  <si>
    <t>Horarios cargados</t>
  </si>
  <si>
    <t>Especialista sobre recursos ajenos — lectura</t>
  </si>
  <si>
    <t>Abrir el selector de horario</t>
  </si>
  <si>
    <t>Dos especialistas</t>
  </si>
  <si>
    <t>Solicitar (GET) citas, fichas y documentos de la otra</t>
  </si>
  <si>
    <t>Los bloques se presentan como rango y comienzan a las 09:00</t>
  </si>
  <si>
    <t>Abierto</t>
  </si>
  <si>
    <t>Las citas se rechazan con 403; las fichas y documentos de la otra especialista se muestran (200) — es la regla nueva de visibilidad (2.1), no una fuga</t>
  </si>
  <si>
    <t>H-006</t>
  </si>
  <si>
    <t>PF-015</t>
  </si>
  <si>
    <t>PF-020</t>
  </si>
  <si>
    <t>PNF-017</t>
  </si>
  <si>
    <t>Franja 14:00 a 15:00 inexistente</t>
  </si>
  <si>
    <t>Paciente sobre el panel</t>
  </si>
  <si>
    <t>Revisar la rejilla de cualquier día</t>
  </si>
  <si>
    <t>Sesión de paciente</t>
  </si>
  <si>
    <t>Solicitar endpoints administrativos</t>
  </si>
  <si>
    <t>No se genera ningún bloque entre 14:00 y 15:00</t>
  </si>
  <si>
    <t>Todas las peticiones se rechazan con 403</t>
  </si>
  <si>
    <t>Al hacer cambios en los bloques de horario de un especialista, el sistema se rompe y ya no permite reservar en ningun horario. Diagnostico de claude: Encontré la causa. No es un problema de plantillas/horarios — es un bug de CORS específico del endpoint de agenda en el backend de test.
Lo que pasa: cada vez que la app pide bloques (/api/agenda?especialistaIds=...&amp;desde=...&amp;hasta=... en api-test.kinefitchile.com), el navegador bloquea la respuesta porque el header Access-Control-Allow-Credentials viene vacío en vez de true. Como la request va con credentials: include (para mandar la sesión), Chrome la descarta antes de que el frontend vea el dato. El componente no tiene un estado de error para este caso, así que simplemente no renderiza nada — ni bloques, ni "Horario Disponible", ni un mensaje de error. Por eso se ve "vacío" en vez de mostrar una falla.
Cómo lo confirmé: recargué /panel/agenda sin tocar nada mío y quedó pillado en consola el fetch real de la app fallando así para hoy (15-09), para mañana (16-09, al hacer clic en Siguiente) y para una fecha a un mes (05-10, cambiando el date picker) — o sea, no es una fecha puntual, es todo el endpoint. Y no es un problema de CORS general del dominio: en la misma sesión, /api/especialistas y /api/bloqueos-agenda (mismo origen api-test.kinefitchile.com) cargan perfecto — el modal de Bloqueos abrió normal. Entonces el CORS está mal configurado solo en la ruta de agenda, no en el resto de la API.
Por qué "de repente": las plantillas (Horario del Centro, Plantilla por Especialista) que estabas viendo están todas con datos válidos, así que no es que se haya roto la generación de horarios — es que el endpoint que trae los bloques ya generados dejó de responder correctamente al frontend. Puede ser un cambio reciente en el CORS/middleware del backend de test que tocó esa ruta puntual, o algo del deploy que cambió cómo se llama a /api/agenda justo cuando el resto sigue igual.
Esto es 100% backend (config de CORS en api-test.kinefitchile.com para la ruta /api/agenda), no algo que se arregle en el frontend ni tocando plantillas/horarios de nuevo.</t>
  </si>
  <si>
    <t>Esto es algo que se deberia configurar y no dar por sentado que sera para siempre, el sistema debe permitir cambiar bloques de horario bloqueados permanentes como este</t>
  </si>
  <si>
    <t>PF-016</t>
  </si>
  <si>
    <t>Duración desactivada globalmente</t>
  </si>
  <si>
    <t>PNF-018</t>
  </si>
  <si>
    <t>Interruptor de duración en falso</t>
  </si>
  <si>
    <t>H-007</t>
  </si>
  <si>
    <t>PF-031</t>
  </si>
  <si>
    <t>Reservar un servicio y elegir un solo bloque</t>
  </si>
  <si>
    <t>hallazgo raro donde se ingreso el bloque de 4 30 y 5 00, pero al volver al formulario para buscar los 2 bloques, aparece el de 4 30 pero no el de 5 00</t>
  </si>
  <si>
    <t>Enumeración de identificadores</t>
  </si>
  <si>
    <t>El sistema permite reservar sin exigir bloques adicionales</t>
  </si>
  <si>
    <t>Sesión de un especialista distinto del dueño de los recursos</t>
  </si>
  <si>
    <t>Recorrer identificadores secuenciales de citas y fichas</t>
  </si>
  <si>
    <t>En corrección</t>
  </si>
  <si>
    <t>No se accede a citas, fichas ni documentos de otro paciente; el acceso de un especialista a fichas/documentos de otro especialista es esperado por diseño (2.1) y no cuenta como hallazgo</t>
  </si>
  <si>
    <t>No deberia existir un interruptor global, el interruptor es por servicio, no para todos, depe permitir a algunos exigir una duracion concreta y no exigirla para otros</t>
  </si>
  <si>
    <t>H-008</t>
  </si>
  <si>
    <t>PF-017</t>
  </si>
  <si>
    <t>otro hallazgo respecto a como se registra una reserva web, ya que aparece como Manual y no como Web (que deberia ser el caso)</t>
  </si>
  <si>
    <t>PNF-019</t>
  </si>
  <si>
    <t>Duración activada, servicio de 60 minutos</t>
  </si>
  <si>
    <t>Interruptor activo, servicio con 60 min</t>
  </si>
  <si>
    <t>Protección</t>
  </si>
  <si>
    <t>Seleccionar un solo bloque de 30 minutos</t>
  </si>
  <si>
    <t>Límite de tasa en autenticación</t>
  </si>
  <si>
    <t>Masajes 60 min</t>
  </si>
  <si>
    <t>El sistema informa la duración y exige seleccionar dos bloques consecutivos</t>
  </si>
  <si>
    <t>Lanzar intentos repetidos de inicio de sesión</t>
  </si>
  <si>
    <t>100 intentos</t>
  </si>
  <si>
    <t>H-009</t>
  </si>
  <si>
    <t>El sistema limita la tasa de solicitudes</t>
  </si>
  <si>
    <t>en los detalles, hay doble boton de cerrar, borrar uno de esos.Un detalle encontrado, al entrar en un detalle y recargar la pagina, el boton de cerrar en la parte superior no funciona, dejando al personal sin la posibilidad de salir del popup</t>
  </si>
  <si>
    <t>PF-018</t>
  </si>
  <si>
    <t>H-010</t>
  </si>
  <si>
    <t>Duración activada, servicio de 90 minutos</t>
  </si>
  <si>
    <t>La pantalla de pago rechazado mantiene el estilo IA, cambiar al ya actualizado pagina de confirmacion</t>
  </si>
  <si>
    <t>Interruptor activo, servicio con 90 min</t>
  </si>
  <si>
    <t>PNF-020</t>
  </si>
  <si>
    <t>Seleccionar dos bloques</t>
  </si>
  <si>
    <t>Masajes Premium 90 min</t>
  </si>
  <si>
    <t>Límite de tasa en endpoints públicos</t>
  </si>
  <si>
    <t>El sistema exige el tercer bloque consecutivo</t>
  </si>
  <si>
    <t>Lanzar peticiones repetidas a disponibilidad y reserva</t>
  </si>
  <si>
    <t>H-011</t>
  </si>
  <si>
    <t>Al intentar imprimir el comprobante de una venta, se intenta imprimir el popup entero, incluyendo botones, la idea es hacer un html simple sin estilos, que se dedique a mostrar la informacion. Ademas, hay que agregar un boton para descargar el comprobante en pdf (el mismo que se imprime)</t>
  </si>
  <si>
    <t>PF-019</t>
  </si>
  <si>
    <t>Bloques no consecutivos</t>
  </si>
  <si>
    <t>PNF-021</t>
  </si>
  <si>
    <t>Interruptor activo, servicio de 60 min</t>
  </si>
  <si>
    <t>Seleccionar dos bloques separados por un tercero ocupado</t>
  </si>
  <si>
    <t>Fuerza bruta sobre el enlace de firma</t>
  </si>
  <si>
    <t>El sistema rechaza la selección por no ser consecutiva</t>
  </si>
  <si>
    <t>Enlace válido conocido</t>
  </si>
  <si>
    <t>Probar tokens aleatorios y variaciones</t>
  </si>
  <si>
    <t>H-012</t>
  </si>
  <si>
    <t>Los intentos se limitan y ningún token adivinado da acceso</t>
  </si>
  <si>
    <t>PF-057</t>
  </si>
  <si>
    <t>La funcionalidad de marcar como cambiar contraseña quedo antigua, pero hay que definir un correo y constraseña para que el nuevo especialista pueda acceder al panel</t>
  </si>
  <si>
    <t>PNF-022</t>
  </si>
  <si>
    <t>Enlace de firma no enumerable</t>
  </si>
  <si>
    <t>H-013</t>
  </si>
  <si>
    <t>Varios enlaces emitidos</t>
  </si>
  <si>
    <t>Especialistas filtradas por disponibilidad</t>
  </si>
  <si>
    <t>Comparar los tokens entre sí</t>
  </si>
  <si>
    <t>Al ingresar con la cuenta de un especialista concreto, no permite leer (403 forbidden) ningun otro registro hecho por otro especialista, esto no deberia pasar bajo ningun concepto</t>
  </si>
  <si>
    <t>Dos especialistas con horarios distintos</t>
  </si>
  <si>
    <t>Los tokens no siguen un patrón derivable</t>
  </si>
  <si>
    <t>Elegir un bloque cubierto por una sola de ellas</t>
  </si>
  <si>
    <t>Bloque 18:30</t>
  </si>
  <si>
    <t>Sólo se ofrece la especialista que atiende ese bloque</t>
  </si>
  <si>
    <t>PNF-023</t>
  </si>
  <si>
    <t>Validación de archivos por contenido</t>
  </si>
  <si>
    <t>H-014</t>
  </si>
  <si>
    <t>Subir un ejecutable renombrado y un archivo sobre el límite</t>
  </si>
  <si>
    <t>Buscador de creacion de una ficha no funciona, sino que hace un llamado a todos los documentos. Deberia de filtrar como corresponde y ademas mostrar antes el llamado a todos los documentos</t>
  </si>
  <si>
    <t>PF-021</t>
  </si>
  <si>
    <t>Ambos se rechazan</t>
  </si>
  <si>
    <t>Especialista sin el servicio habilitado</t>
  </si>
  <si>
    <t>Especialista sin habilitación para el servicio</t>
  </si>
  <si>
    <t>Seleccionar ese servicio y un bloque de su horario</t>
  </si>
  <si>
    <t>PNF-024</t>
  </si>
  <si>
    <t>La especialista no se ofrece para ese servicio</t>
  </si>
  <si>
    <t>Archivos no ejecutables desde el servidor</t>
  </si>
  <si>
    <t>Archivo cargado</t>
  </si>
  <si>
    <t>H-015</t>
  </si>
  <si>
    <t>Intentar acceder a la ruta del archivo directamente</t>
  </si>
  <si>
    <t>Al intentar abrir un documento de consentimiento en el detalle de un documento, se demora un tiempo considerable</t>
  </si>
  <si>
    <t>El acceso se rechaza y el archivo no se ejecuta</t>
  </si>
  <si>
    <t>PF-022</t>
  </si>
  <si>
    <t>PNF-025</t>
  </si>
  <si>
    <t>Campo de convenio opcional</t>
  </si>
  <si>
    <t>H-016</t>
  </si>
  <si>
    <t>Convenios cargados</t>
  </si>
  <si>
    <t>Cabeceras de seguridad</t>
  </si>
  <si>
    <t>Completar la reserva sin seleccionar convenio</t>
  </si>
  <si>
    <t>Al momento de realizar una reserva, el aviso que indica seleccionar diferentes horarios es poco llamativo, lo cual puede causar confusión en una persona al pensar ¿Porque no me deja continuar?, como solución se puede poner una alerta más evidente de "Este servicio requiere 60 min (2 bloque(s) de 30 min)." como ejemplo.</t>
  </si>
  <si>
    <t>Revisar las cabeceras de respuesta</t>
  </si>
  <si>
    <t>La reserva se confirma sin exigir convenio</t>
  </si>
  <si>
    <t>Están presentes las cabeceras de seguridad esperadas</t>
  </si>
  <si>
    <t>Jhoan</t>
  </si>
  <si>
    <t>PNF-026</t>
  </si>
  <si>
    <t>PF-023</t>
  </si>
  <si>
    <t>Secretos</t>
  </si>
  <si>
    <t>Sin secretos en el navegador</t>
  </si>
  <si>
    <t>Inspeccionar el paquete entregado al navegador</t>
  </si>
  <si>
    <t>Campo obligatorio vacío</t>
  </si>
  <si>
    <t>En el paso de datos</t>
  </si>
  <si>
    <t>No aparecen claves de servicio, credenciales ni cadenas de conexión</t>
  </si>
  <si>
    <t>Dejar el teléfono vacío y confirmar</t>
  </si>
  <si>
    <t>El sistema impide confirmar y señala el campo</t>
  </si>
  <si>
    <t>PNF-027</t>
  </si>
  <si>
    <t>Contraseña fuera del código</t>
  </si>
  <si>
    <t>Backend desplegado</t>
  </si>
  <si>
    <t>Revisar el inicializador de datos del sistema</t>
  </si>
  <si>
    <t>PF-024</t>
  </si>
  <si>
    <t>Ninguna contraseña está fijada en el código fuente</t>
  </si>
  <si>
    <t>Ocupación de bloques al confirmar</t>
  </si>
  <si>
    <t>Reserva confirmada</t>
  </si>
  <si>
    <t>Consultar la disponibilidad del mismo bloque desde otro navegador</t>
  </si>
  <si>
    <t>PNF-028</t>
  </si>
  <si>
    <t>Los bloques comprometidos ya no aparecen disponibles</t>
  </si>
  <si>
    <t>H-017</t>
  </si>
  <si>
    <t>Rotación efectiva</t>
  </si>
  <si>
    <t>Contraseña rotada</t>
  </si>
  <si>
    <t>Al filtrar la agenda por fecha, seleccionando el día en el calendario, se seleciona un día anterior al requerido</t>
  </si>
  <si>
    <t>Redesplegar la aplicación e intentar la clave anterior</t>
  </si>
  <si>
    <t>La clave anterior no funciona y la rotación no se revierte con el despliegue</t>
  </si>
  <si>
    <t>PF-025</t>
  </si>
  <si>
    <t>PNF-029</t>
  </si>
  <si>
    <t>Error interno libera los bloques</t>
  </si>
  <si>
    <t>Continuidad</t>
  </si>
  <si>
    <t>H-018</t>
  </si>
  <si>
    <t>Simular fallo del servidor al registrar</t>
  </si>
  <si>
    <t>Respaldo automático</t>
  </si>
  <si>
    <t>Respaldos configurados</t>
  </si>
  <si>
    <t>Provocar el error y revisar la disponibilidad</t>
  </si>
  <si>
    <t>Al momento de que se quiera registrar una ficha clinica, por intuición se deberia hacer por la sección de documentos de una reserva de agenda</t>
  </si>
  <si>
    <t>Verificar la generación del respaldo</t>
  </si>
  <si>
    <t>El respaldo se genera de forma automática y periódica</t>
  </si>
  <si>
    <t>Los bloques permanecen disponibles y se informa al paciente</t>
  </si>
  <si>
    <t xml:space="preserve">Jhoan </t>
  </si>
  <si>
    <t>H-019</t>
  </si>
  <si>
    <t>PF-026</t>
  </si>
  <si>
    <t>PNF-030</t>
  </si>
  <si>
    <t>Cuando se crea una nueva plantilla de fichas, al poner los datos de una sección no se logra ver los cambios que se hacen en caliente.</t>
  </si>
  <si>
    <t>Interruptor de reservas desactivado</t>
  </si>
  <si>
    <t>Restauración verificada</t>
  </si>
  <si>
    <t>Respaldo disponible</t>
  </si>
  <si>
    <t>Interruptor en falso</t>
  </si>
  <si>
    <t>Restaurar sobre un entorno limpio</t>
  </si>
  <si>
    <t>Abrir el sitio público</t>
  </si>
  <si>
    <t>La restauración se completa y los datos quedan íntegros</t>
  </si>
  <si>
    <t>El formulario no se muestra y la llamada a la acción dirige al destino configurado</t>
  </si>
  <si>
    <t>H-020</t>
  </si>
  <si>
    <t>Al crear una reserva, con dos bloques consecutivos, se esta creando como reservas separadas, donde una tiene una ficha, y el otro se comporta de manera ideal. Al marcar como atendido.Actualmente no permite adjuntar una ficha a la reserva atendida, lo cual es un error.</t>
  </si>
  <si>
    <t>PNF-031</t>
  </si>
  <si>
    <t>Base de datos no expuesta</t>
  </si>
  <si>
    <t>Infraestructura desplegada</t>
  </si>
  <si>
    <t>PF-027</t>
  </si>
  <si>
    <t>Intentar conectarse a la base desde internet</t>
  </si>
  <si>
    <t>La conexión se rechaza</t>
  </si>
  <si>
    <t>Interruptor de reservas reactivado</t>
  </si>
  <si>
    <t>Interruptor en verdadero</t>
  </si>
  <si>
    <t>H-021</t>
  </si>
  <si>
    <t>El Boton ir a la web cuando un especialista esta en el panel no deberia aparecer</t>
  </si>
  <si>
    <t>PNF-032</t>
  </si>
  <si>
    <t>El formulario de reserva vuelve a mostrarse y opera con normalidad</t>
  </si>
  <si>
    <t>Puertos abiertos</t>
  </si>
  <si>
    <t>Explorar los puertos accesibles desde internet</t>
  </si>
  <si>
    <t>Sólo están abiertos los estrictamente necesarios</t>
  </si>
  <si>
    <t>H-022</t>
  </si>
  <si>
    <t>PF-028</t>
  </si>
  <si>
    <t>AGE-002</t>
  </si>
  <si>
    <t>Al momento de reservar y que se requiera el inicio de sesión, cuando se inicia con credenciales (incluyendo google), ese inicio de sesión se pasa directamente como registrado, sin validar si tiene tu o telefono.</t>
  </si>
  <si>
    <t>PNF-033</t>
  </si>
  <si>
    <t>Pago del anticipo</t>
  </si>
  <si>
    <t>Monto del anticipo</t>
  </si>
  <si>
    <t>Reserva lista para pagar</t>
  </si>
  <si>
    <t>Versión identificable</t>
  </si>
  <si>
    <t>Avanzar al pago</t>
  </si>
  <si>
    <t>Despliegue realizado</t>
  </si>
  <si>
    <t>Consultar la versión desplegada</t>
  </si>
  <si>
    <t>El monto es de $10.000 CLP para cualquier servicio</t>
  </si>
  <si>
    <t>La versión es identificable de forma unívoca</t>
  </si>
  <si>
    <t>H-023</t>
  </si>
  <si>
    <t>PF-102</t>
  </si>
  <si>
    <t xml:space="preserve">Una vez que se edita, aun sigue el botón de adjuntar, lo cual da una ilución falsa de que se puede editar y pero no lo hace. </t>
  </si>
  <si>
    <t>PNF-034</t>
  </si>
  <si>
    <t>PF-029</t>
  </si>
  <si>
    <t>Retorno a versión anterior</t>
  </si>
  <si>
    <t>Monto validado en servidor</t>
  </si>
  <si>
    <t>Dos versiones publicadas</t>
  </si>
  <si>
    <t>Volver a la anterior</t>
  </si>
  <si>
    <t>Alterar el monto en la petición desde el navegador</t>
  </si>
  <si>
    <t>El retorno se completa sin reconstruir la aplicación</t>
  </si>
  <si>
    <t>Monto 1000</t>
  </si>
  <si>
    <t>El backend rechaza la operación y conserva el monto correcto</t>
  </si>
  <si>
    <t>H-024</t>
  </si>
  <si>
    <t>Al crear una plantilla un especialista no puede crear otro tipo de documento más que consentimiento, el admin si puede hacerlo</t>
  </si>
  <si>
    <t>PNF-035</t>
  </si>
  <si>
    <t>Auditoría</t>
  </si>
  <si>
    <t>Registro de escrituras</t>
  </si>
  <si>
    <t>PF-030</t>
  </si>
  <si>
    <t>Operaciones realizadas</t>
  </si>
  <si>
    <t>Consultar el registro de auditoría</t>
  </si>
  <si>
    <t>Pago aprobado</t>
  </si>
  <si>
    <t>Cada acción de escritura queda con actor, entidad, acción y fecha</t>
  </si>
  <si>
    <t>Ambiente de integración</t>
  </si>
  <si>
    <t>Pagar con la tarjeta de prueba VISA</t>
  </si>
  <si>
    <t>4051 8856 0044 6623</t>
  </si>
  <si>
    <t>H-025</t>
  </si>
  <si>
    <t>La cita pasa a Confirmada y los bloques quedan congelados</t>
  </si>
  <si>
    <t>PNF-036</t>
  </si>
  <si>
    <t>LEG-001</t>
  </si>
  <si>
    <t>Protección de datos</t>
  </si>
  <si>
    <t>Consentimiento en el alta</t>
  </si>
  <si>
    <t>Se informa el tratamiento de datos y se registra el consentimiento</t>
  </si>
  <si>
    <t>Solo se puede iniciar sesión mediante las cuentas google, si se hace manual, no se manda ningun request.</t>
  </si>
  <si>
    <t>Bloques reservados durante el pago</t>
  </si>
  <si>
    <t>Pago en curso</t>
  </si>
  <si>
    <t>Consultar el bloque desde otro navegador mientras la pasarela está abierta</t>
  </si>
  <si>
    <t>PNF-037</t>
  </si>
  <si>
    <t>El bloque no aparece disponible para otro usuario</t>
  </si>
  <si>
    <t>Tráfico cifrado</t>
  </si>
  <si>
    <t>Verificar el certificado y la redirección</t>
  </si>
  <si>
    <t>Todo el tráfico viaja cifrado y no hay contenido mixto</t>
  </si>
  <si>
    <t>PF-032</t>
  </si>
  <si>
    <t>PNF-038</t>
  </si>
  <si>
    <t>Cancelación en la pasarela</t>
  </si>
  <si>
    <t>Sin datos de salud en endpoints públicos</t>
  </si>
  <si>
    <t>Recorrer los endpoints públicos</t>
  </si>
  <si>
    <t>Abortar el pago dentro de la pasarela</t>
  </si>
  <si>
    <t>Ninguno expone datos clínicos ni motivos internos</t>
  </si>
  <si>
    <t>El sitio devuelve al paciente con mensaje y libera los bloques de inmediato</t>
  </si>
  <si>
    <t>Aprobado pero con el detalle que aunque se cancele el pago la reserva se queda aun en el panel de reservas, no es critico, porque igualmente dentro de 15 minutos como todos los pendientes de pago, se liberara solo</t>
  </si>
  <si>
    <t>PNF-039</t>
  </si>
  <si>
    <t>PF-033</t>
  </si>
  <si>
    <t>Descarga de archivo clínico sin sesión</t>
  </si>
  <si>
    <t>Intentar descargarlo sin autenticación</t>
  </si>
  <si>
    <t>Tarjeta rechazada</t>
  </si>
  <si>
    <t>El acceso se rechaza</t>
  </si>
  <si>
    <t>Forzar un rechazo de la tarjeta</t>
  </si>
  <si>
    <t>H-026</t>
  </si>
  <si>
    <t>La cita no se confirma y los bloques vuelven a estar disponibles</t>
  </si>
  <si>
    <t>Se deberia quitar o editar un POS creado</t>
  </si>
  <si>
    <t>PNF-040</t>
  </si>
  <si>
    <t>Identificador opaco de archivos</t>
  </si>
  <si>
    <t>Revisar la ruta de almacenamiento</t>
  </si>
  <si>
    <t>PF-034</t>
  </si>
  <si>
    <t>La ruta no es predecible ni derivable del nombre original</t>
  </si>
  <si>
    <t>Abandono sin interacción</t>
  </si>
  <si>
    <t>H-027</t>
  </si>
  <si>
    <t>Pago iniciado</t>
  </si>
  <si>
    <t>No existe la opción de eliminar plantillas</t>
  </si>
  <si>
    <t>Dejar la pasarela abierta hasta cumplir el tiempo límite</t>
  </si>
  <si>
    <t>PNF-041</t>
  </si>
  <si>
    <t>La cita se marca como expirada y los bloques se liberan automáticamente</t>
  </si>
  <si>
    <t>Parámetro de retención</t>
  </si>
  <si>
    <t>Configuración del sistema</t>
  </si>
  <si>
    <t>Revisar el parámetro de conservación</t>
  </si>
  <si>
    <t>El plazo está definido y es configurable</t>
  </si>
  <si>
    <t>PF-035</t>
  </si>
  <si>
    <t>H-028</t>
  </si>
  <si>
    <t>Cierre de ventana tras aprobar</t>
  </si>
  <si>
    <t>Hay que evaluar que ocurre si como paciente uno se logea y los campos se completan, pero se cambiar el nombre y el convenio, que ocurrira con el registro luego?</t>
  </si>
  <si>
    <t>PNF-042</t>
  </si>
  <si>
    <t>Cerrar la pestaña antes del retorno al sitio</t>
  </si>
  <si>
    <t>Solicitud de eliminación</t>
  </si>
  <si>
    <t>Paciente registrado</t>
  </si>
  <si>
    <t>La cita queda igualmente Confirmada en el sistema</t>
  </si>
  <si>
    <t>Ejecutar el procedimiento de eliminación de datos</t>
  </si>
  <si>
    <t>Los datos se eliminan o anonimizan y queda traza de la solicitud</t>
  </si>
  <si>
    <t>H-029</t>
  </si>
  <si>
    <t>Hay que evaluar si un especialista tambien puede configurar servicios</t>
  </si>
  <si>
    <t>PNF-043</t>
  </si>
  <si>
    <t>Auditoría de acceso clínico</t>
  </si>
  <si>
    <t>Fichas consultadas</t>
  </si>
  <si>
    <t>PF-036</t>
  </si>
  <si>
    <t>Consultar la auditoría</t>
  </si>
  <si>
    <t>Cada consulta y modificación queda con identidad individual</t>
  </si>
  <si>
    <t>Pantalla de confirmación</t>
  </si>
  <si>
    <t>Observar la pantalla de retorno</t>
  </si>
  <si>
    <t>Muestra especialista, servicio, fecha y hora de la cita</t>
  </si>
  <si>
    <t>PNF-044</t>
  </si>
  <si>
    <t>Plantillas no expuestas</t>
  </si>
  <si>
    <t>Plantillas cargadas</t>
  </si>
  <si>
    <t>PF-037</t>
  </si>
  <si>
    <t>Intentar acceder a una plantilla sin sesión</t>
  </si>
  <si>
    <t>Derivación a documentos</t>
  </si>
  <si>
    <t>Servicio con documento exigido</t>
  </si>
  <si>
    <t>Completar el pago</t>
  </si>
  <si>
    <t>Tras el pago el sistema deriva a la firma del documento correspondiente</t>
  </si>
  <si>
    <t>PF-038</t>
  </si>
  <si>
    <t>PNF-045</t>
  </si>
  <si>
    <t>WEB-001</t>
  </si>
  <si>
    <t>Calidad del sitio</t>
  </si>
  <si>
    <t>Títulos únicos</t>
  </si>
  <si>
    <t>Revisar el título de cada página</t>
  </si>
  <si>
    <t>Simular indisponibilidad</t>
  </si>
  <si>
    <t>Cada página tiene un título propio</t>
  </si>
  <si>
    <t>El sistema informa el problema y no deja la cita en estado inconsistente</t>
  </si>
  <si>
    <t>PNF-046</t>
  </si>
  <si>
    <t>Descripciones</t>
  </si>
  <si>
    <t>Revisar la meta descripción de cada página</t>
  </si>
  <si>
    <t>Cada página tiene descripción propia</t>
  </si>
  <si>
    <t>PF-039</t>
  </si>
  <si>
    <t>Credenciales fuera del navegador</t>
  </si>
  <si>
    <t>PNF-047</t>
  </si>
  <si>
    <t>Idioma declarado</t>
  </si>
  <si>
    <t>No aparecen credenciales de comercio ni claves de la pasarela</t>
  </si>
  <si>
    <t>Revisar el atributo de idioma</t>
  </si>
  <si>
    <t>El idioma está declarado</t>
  </si>
  <si>
    <t>PF-040</t>
  </si>
  <si>
    <t>CON-001</t>
  </si>
  <si>
    <t>PNF-048</t>
  </si>
  <si>
    <t>Lista desplegable</t>
  </si>
  <si>
    <t>Contenido en el HTML entregado</t>
  </si>
  <si>
    <t>Revisar el código fuente sin ejecutar scripts</t>
  </si>
  <si>
    <t>Abrir el campo de convenio en la reserva</t>
  </si>
  <si>
    <t>El contenido principal está presente en el HTML</t>
  </si>
  <si>
    <t>Se presenta como lista desplegable y no admite texto libre</t>
  </si>
  <si>
    <t>PNF-049</t>
  </si>
  <si>
    <t>Página 404 propia</t>
  </si>
  <si>
    <t>Abrir una ruta inexistente</t>
  </si>
  <si>
    <t>PF-041</t>
  </si>
  <si>
    <t>Se muestra una 404 propia coherente con la identidad visual</t>
  </si>
  <si>
    <t>Rechazo de convenio inexistente</t>
  </si>
  <si>
    <t>Enviar un identificador de empresa inexistente al backend</t>
  </si>
  <si>
    <t>id 9999</t>
  </si>
  <si>
    <t>PNF-050</t>
  </si>
  <si>
    <t>El backend rechaza la operación</t>
  </si>
  <si>
    <t>Dirección canónica</t>
  </si>
  <si>
    <t>Revisar el canónico de cada página</t>
  </si>
  <si>
    <t>Está declarado y apunta correctamente</t>
  </si>
  <si>
    <t>PF-042</t>
  </si>
  <si>
    <t>Vigencia visible en el listado</t>
  </si>
  <si>
    <t>Convenio con vigencia cargada</t>
  </si>
  <si>
    <t>PNF-051</t>
  </si>
  <si>
    <t>Abrir el listado de convenios en el panel</t>
  </si>
  <si>
    <t>Mapa del sitio</t>
  </si>
  <si>
    <t>La vigencia aparece como columna sin abrir el detalle</t>
  </si>
  <si>
    <t>Solicitar el mapa del sitio</t>
  </si>
  <si>
    <t>Existe y lista las páginas públicas</t>
  </si>
  <si>
    <t>Aprobado pero solo aparece en la columna como: Vigente, no aparece el rango entre las 2 fechas de vigencia, es un detalle menor</t>
  </si>
  <si>
    <t>PF-043</t>
  </si>
  <si>
    <t>PNF-052</t>
  </si>
  <si>
    <t>Descuento por servicio</t>
  </si>
  <si>
    <t>Convenio con descuento en masoterapia y no en kinesiología</t>
  </si>
  <si>
    <t>Reglas para rastreadores</t>
  </si>
  <si>
    <t>Registrar venta de masoterapia a paciente afiliado</t>
  </si>
  <si>
    <t>20% masoterapia</t>
  </si>
  <si>
    <t>El descuento se aplica automáticamente</t>
  </si>
  <si>
    <t>Solicitar el archivo de reglas</t>
  </si>
  <si>
    <t>Existe y no bloquea el contenido público</t>
  </si>
  <si>
    <t>PF-044</t>
  </si>
  <si>
    <t>PNF-053</t>
  </si>
  <si>
    <t>Servicio sin descuento</t>
  </si>
  <si>
    <t>Mismo convenio</t>
  </si>
  <si>
    <t>Registrar venta de kinesiología al mismo paciente</t>
  </si>
  <si>
    <t>Datos estructurados</t>
  </si>
  <si>
    <t>No se aplica descuento</t>
  </si>
  <si>
    <t>Validar los datos estructurados de negocio local</t>
  </si>
  <si>
    <t>Están presentes y son válidos</t>
  </si>
  <si>
    <t>PF-045</t>
  </si>
  <si>
    <t>Convenio con vigencia terminada</t>
  </si>
  <si>
    <t>PNF-054</t>
  </si>
  <si>
    <t>Registrar venta de un paciente afiliado</t>
  </si>
  <si>
    <t>No se aplica descuento y la venta se registra al precio pleno</t>
  </si>
  <si>
    <t>Imagen para compartir</t>
  </si>
  <si>
    <t>Compartir el enlace en mensajería</t>
  </si>
  <si>
    <t>Se muestra la imagen de presentación declarada</t>
  </si>
  <si>
    <t>Se guarda sin el descuento como corresponde pero al momento de ingresar el convenio en el registro de ventas: Monto ($ CLP) *
40000
Convenio Convenio no vigente: -10% → Total a cobrar $36.000. Y claro, el convenio no esta vigente</t>
  </si>
  <si>
    <t>PF-046</t>
  </si>
  <si>
    <t>Ventas anteriores no se alteran</t>
  </si>
  <si>
    <t>PNF-055</t>
  </si>
  <si>
    <t>Ventas registradas con convenio vigente</t>
  </si>
  <si>
    <t>Vencer el convenio y revisar las ventas anteriores</t>
  </si>
  <si>
    <t>Ícono de pestaña</t>
  </si>
  <si>
    <t>Las ventas previas conservan el descuento aplicado</t>
  </si>
  <si>
    <t>Se muestra el ícono propio</t>
  </si>
  <si>
    <t>PF-047</t>
  </si>
  <si>
    <t>Paciente sin convenio</t>
  </si>
  <si>
    <t>Paciente sin empresa asociada</t>
  </si>
  <si>
    <t>Registrar una venta</t>
  </si>
  <si>
    <t>PNF-056</t>
  </si>
  <si>
    <t>No se aplica descuento alguno</t>
  </si>
  <si>
    <t>Texto alternativo</t>
  </si>
  <si>
    <t>PF-048</t>
  </si>
  <si>
    <t>Revisar todas las imágenes</t>
  </si>
  <si>
    <t>Todas tienen texto alternativo descriptivo</t>
  </si>
  <si>
    <t>Descuento visible en la tabla de ventas</t>
  </si>
  <si>
    <t>Venta con convenio aplicado</t>
  </si>
  <si>
    <t>Abrir el listado de ventas</t>
  </si>
  <si>
    <t>El descuento por convenio aparece como primer descuento de la fila</t>
  </si>
  <si>
    <t>PNF-057</t>
  </si>
  <si>
    <t>PF-049</t>
  </si>
  <si>
    <t>AUT-002</t>
  </si>
  <si>
    <t>Encabezado principal único</t>
  </si>
  <si>
    <t>Acceso del personal</t>
  </si>
  <si>
    <t>Ingreso de administrador</t>
  </si>
  <si>
    <t>Revisar cada página</t>
  </si>
  <si>
    <t>Cuenta de administrador activa</t>
  </si>
  <si>
    <t>Iniciar sesión en el panel</t>
  </si>
  <si>
    <t>Cada página tiene un único encabezado principal</t>
  </si>
  <si>
    <t>admin@kinefit.cl</t>
  </si>
  <si>
    <t>Accede al panel completo</t>
  </si>
  <si>
    <t>Pendiente como siempre, cambiar las credenciales para produccion</t>
  </si>
  <si>
    <t>PNF-058</t>
  </si>
  <si>
    <t>PF-050</t>
  </si>
  <si>
    <t>Sin mapas de código fuente</t>
  </si>
  <si>
    <t>Ingreso de especialista</t>
  </si>
  <si>
    <t>Buscar mapas de código en producción</t>
  </si>
  <si>
    <t>Cuenta de especialista activa</t>
  </si>
  <si>
    <t>No se exponen</t>
  </si>
  <si>
    <t>Accede sólo a las secciones de su rol</t>
  </si>
  <si>
    <t>Fallido hasta encontrar las credenciales o hacerlas</t>
  </si>
  <si>
    <t>PF-051</t>
  </si>
  <si>
    <t>PNF-059</t>
  </si>
  <si>
    <t>Credenciales incorrectas</t>
  </si>
  <si>
    <t>Peso de los recursos</t>
  </si>
  <si>
    <t>Intentar ingresar con clave errónea</t>
  </si>
  <si>
    <t>Medir el peso entregado al navegador</t>
  </si>
  <si>
    <t>El acceso se rechaza sin revelar si el usuario existe</t>
  </si>
  <si>
    <t>Se mantiene dentro del umbral acordado</t>
  </si>
  <si>
    <t>PF-052</t>
  </si>
  <si>
    <t>PNF-060</t>
  </si>
  <si>
    <t>Especialista no ve reportes</t>
  </si>
  <si>
    <t>Imágenes optimizadas</t>
  </si>
  <si>
    <t>Intentar abrir la sección de reportes</t>
  </si>
  <si>
    <t>Revisar el formato y tamaño de las imágenes servidas</t>
  </si>
  <si>
    <t>Se sirven optimizadas</t>
  </si>
  <si>
    <t>Pendiente hasta poder ingresar como especialista</t>
  </si>
  <si>
    <t>PF-053</t>
  </si>
  <si>
    <t>Especialista no ve configuración global</t>
  </si>
  <si>
    <t>Intentar abrir la configuración del sitio</t>
  </si>
  <si>
    <t>El acceso se rechaza; sólo alcanza su propio horario</t>
  </si>
  <si>
    <t>No puede ver el horario del centro, pero si puede ver y cambiar el de los otro especialistas</t>
  </si>
  <si>
    <t>PF-054</t>
  </si>
  <si>
    <t>PNF-061</t>
  </si>
  <si>
    <t>Acceso cruzado entre especialistas</t>
  </si>
  <si>
    <t>Medición de visitas</t>
  </si>
  <si>
    <t>Dos especialistas con citas propias</t>
  </si>
  <si>
    <t>Solicitar por API una cita de la otra especialista</t>
  </si>
  <si>
    <t>Verificar el registro de una visita</t>
  </si>
  <si>
    <t>La petición se rechaza con 403</t>
  </si>
  <si>
    <t>La visita se registra en la herramienta de medición</t>
  </si>
  <si>
    <t>PF-055</t>
  </si>
  <si>
    <t>PNF-062</t>
  </si>
  <si>
    <t>Paciente no accede al panel</t>
  </si>
  <si>
    <t>Solicitar un endpoint del panel con el token de paciente</t>
  </si>
  <si>
    <t>Llamada a la acción visible</t>
  </si>
  <si>
    <t>Abrir el sitio en escritorio y móvil</t>
  </si>
  <si>
    <t>La llamada a la acción es visible sin desplazamiento y accesible en móvil</t>
  </si>
  <si>
    <t>PF-056</t>
  </si>
  <si>
    <t>Creación de cuenta por el administrador</t>
  </si>
  <si>
    <t>PNF-063</t>
  </si>
  <si>
    <t>Crear una cuenta de especialista</t>
  </si>
  <si>
    <t>Ninguna URL de entorno expuesta</t>
  </si>
  <si>
    <t>La cuenta se crea y queda marcada para cambio de contraseña</t>
  </si>
  <si>
    <t>Revisar enlaces y peticiones</t>
  </si>
  <si>
    <t>No aparecen URL de entornos de despliegue intermedios</t>
  </si>
  <si>
    <t>Se crea pero la funcionalidad de marcada para cambio de contraseña quedo afuera</t>
  </si>
  <si>
    <t>Cambio obligatorio de contraseña</t>
  </si>
  <si>
    <t>PNF-064</t>
  </si>
  <si>
    <t>Cuenta recién creada</t>
  </si>
  <si>
    <t>Iniciar sesión por primera vez</t>
  </si>
  <si>
    <t>Especialista sobre recursos ajenos — escritura</t>
  </si>
  <si>
    <t>El sistema exige cambiar la contraseña antes de continuar</t>
  </si>
  <si>
    <t>Intentar crear o editar (POST/PUT) fichas y documentos de la otra</t>
  </si>
  <si>
    <t>Todas las peticiones de escritura se rechazan con 403</t>
  </si>
  <si>
    <t>PNF-065</t>
  </si>
  <si>
    <t>Límite de 50 en el listado unificado de documentos</t>
  </si>
  <si>
    <t>PF-058</t>
  </si>
  <si>
    <t>Más de 50 documentos sembrados</t>
  </si>
  <si>
    <t>Desactivación de cuenta</t>
  </si>
  <si>
    <t>Pedir una página con pageSize mayor a 50</t>
  </si>
  <si>
    <t>Cuenta activa con historial</t>
  </si>
  <si>
    <t>Desactivarla y volver a intentar el ingreso</t>
  </si>
  <si>
    <t>Devuelve 50, recorte silencioso</t>
  </si>
  <si>
    <t>No puede iniciar sesión y su identidad se conserva en la auditoría</t>
  </si>
  <si>
    <t>PNF-066</t>
  </si>
  <si>
    <t>No se puede desactivar una cuenta, la unica forma es eliminandolo</t>
  </si>
  <si>
    <t>Exportación a CSV sin el límite de 50</t>
  </si>
  <si>
    <t>Más de 50 documentos</t>
  </si>
  <si>
    <t>Exportar a CSV</t>
  </si>
  <si>
    <t>PF-059</t>
  </si>
  <si>
    <t>Devuelve el listado completo</t>
  </si>
  <si>
    <t>Registro de firma en el perfil</t>
  </si>
  <si>
    <t>PNF-067</t>
  </si>
  <si>
    <t>Registrar la firma en el perfil</t>
  </si>
  <si>
    <t>Trazo con mouse</t>
  </si>
  <si>
    <t>Traza de acceso al listado unificado de documentos</t>
  </si>
  <si>
    <t>La firma queda guardada y disponible para estampar documentos</t>
  </si>
  <si>
    <t>Endpoint de listado unificado</t>
  </si>
  <si>
    <t>Consultarlo</t>
  </si>
  <si>
    <t>Queda registrado como acceso a datos clínicos</t>
  </si>
  <si>
    <t>Mecanismo de firma reutilizable eliminado — ver decisión de diseño 11 del plan de implementación backend (el profesional firma en vivo cada vez, igual que el paciente).</t>
  </si>
  <si>
    <t>PF-060</t>
  </si>
  <si>
    <t>Contraseña nunca en claro</t>
  </si>
  <si>
    <t>Cuenta creada</t>
  </si>
  <si>
    <t>Consultar el registro del usuario en la base</t>
  </si>
  <si>
    <t>La contraseña está almacenada con hash y no en texto plano</t>
  </si>
  <si>
    <t>PF-061</t>
  </si>
  <si>
    <t>AGE-003</t>
  </si>
  <si>
    <t>Agenda</t>
  </si>
  <si>
    <t>Vista individual</t>
  </si>
  <si>
    <t>Citas cargadas</t>
  </si>
  <si>
    <t>Abrir la agenda en modo individual</t>
  </si>
  <si>
    <t>Se muestra la agenda de una sola especialista</t>
  </si>
  <si>
    <t>PF-062</t>
  </si>
  <si>
    <t>Vista comparativa</t>
  </si>
  <si>
    <t>Tres especialistas con citas</t>
  </si>
  <si>
    <t>Abrir la agenda en modo comparativo</t>
  </si>
  <si>
    <t>Se muestran las especialistas en columnas paralelas</t>
  </si>
  <si>
    <t>PF-063</t>
  </si>
  <si>
    <t>Filtro por especialista y fechas</t>
  </si>
  <si>
    <t>Citas en distintas fechas</t>
  </si>
  <si>
    <t>Aplicar filtros como administrador</t>
  </si>
  <si>
    <t>El listado responde a ambos filtros</t>
  </si>
  <si>
    <t>PF-064</t>
  </si>
  <si>
    <t>Cambio manual de estado</t>
  </si>
  <si>
    <t>Cambiar el estado a Cancelada</t>
  </si>
  <si>
    <t>El estado cambia y se solicita motivo</t>
  </si>
  <si>
    <t>PF-065</t>
  </si>
  <si>
    <t>Advertencia de anticipo al cancelar</t>
  </si>
  <si>
    <t>Cancelarla</t>
  </si>
  <si>
    <t>El sistema advierte del anticipo y de verificar la devolución</t>
  </si>
  <si>
    <t>PF-066</t>
  </si>
  <si>
    <t>Auditoría del cambio de estado</t>
  </si>
  <si>
    <t>Cambio realizado</t>
  </si>
  <si>
    <t>Consultar la auditoría de la cita</t>
  </si>
  <si>
    <t>Queda registrada fecha, motivo e identidad individual</t>
  </si>
  <si>
    <t>No aplica, al hacer un cambio de estado no se muestra ningun tipo de auditoria</t>
  </si>
  <si>
    <t>PF-067</t>
  </si>
  <si>
    <t>Cita con pago en curso no editable</t>
  </si>
  <si>
    <t>Cita en proceso de pago</t>
  </si>
  <si>
    <t>Intentar cambiar su estado manualmente</t>
  </si>
  <si>
    <t>El sistema lo impide</t>
  </si>
  <si>
    <t>PF-068</t>
  </si>
  <si>
    <t>Datos de contacto en el detalle</t>
  </si>
  <si>
    <t>Abrir el detalle</t>
  </si>
  <si>
    <t>Se muestran los datos de contacto del paciente y el identificador de pago</t>
  </si>
  <si>
    <t>PF-069</t>
  </si>
  <si>
    <t>Especialista no modifica cita ajena</t>
  </si>
  <si>
    <t>Intentar modificar una cita de otra especialista desde la vista comparativa</t>
  </si>
  <si>
    <t>La acción no está disponible y el backend la rechaza</t>
  </si>
  <si>
    <t>PF-070</t>
  </si>
  <si>
    <t>Hitos operativos en el detalle</t>
  </si>
  <si>
    <t>Cita con pago y documento</t>
  </si>
  <si>
    <t>Se muestran los cuatro hitos: anticipo, pago total, documentos y recomendaciones</t>
  </si>
  <si>
    <t>PF-071</t>
  </si>
  <si>
    <t>Correo al cambiar el estado</t>
  </si>
  <si>
    <t>Cambiar el estado y revisar el correo del paciente</t>
  </si>
  <si>
    <t>El paciente recibe la notificación del cambio</t>
  </si>
  <si>
    <t>PF-072</t>
  </si>
  <si>
    <t>AGE-004</t>
  </si>
  <si>
    <t>Horarios</t>
  </si>
  <si>
    <t>Horario del centro</t>
  </si>
  <si>
    <t>Editar el horario de atención del centro</t>
  </si>
  <si>
    <t>El cambio se guarda y se refleja en la generación de bloques</t>
  </si>
  <si>
    <t>Se realizo una prueba cambiando el horario de atencion en el martes para maximo a las 19:00, sin embargo al elegir una fecha que cae martes siguen apareciendo bloques de 19:00 a 21:00, seguramente sea porque hay especialistas que tienen horario de atencion hasta las 21:00</t>
  </si>
  <si>
    <t>PF-073</t>
  </si>
  <si>
    <t>Plantilla por especialista</t>
  </si>
  <si>
    <t>Definir horarios distintos para dos especialistas</t>
  </si>
  <si>
    <t>Cada una genera sus propios bloques</t>
  </si>
  <si>
    <t>Se realizo una prueba donde constanza los sabados atendia de 9 a 14, y franchesa de 14 a 21, pero al ingresar un bloque el sabado 19 de sept a las 10 30 aparecia como disponible franchesca</t>
  </si>
  <si>
    <t>PF-074</t>
  </si>
  <si>
    <t>Especialista edita su horario</t>
  </si>
  <si>
    <t>Modificar su propio horario</t>
  </si>
  <si>
    <t>El cambio se guarda</t>
  </si>
  <si>
    <t>PF-075</t>
  </si>
  <si>
    <t>Especialista no edita horario ajeno</t>
  </si>
  <si>
    <t>Intentar modificar el horario de otra</t>
  </si>
  <si>
    <t>La acción se rechaza</t>
  </si>
  <si>
    <t>PF-076</t>
  </si>
  <si>
    <t>Más de un tramo por día</t>
  </si>
  <si>
    <t>Cargar dos tramos en un mismo día</t>
  </si>
  <si>
    <t>09:00-13:00 y 15:00-19:00</t>
  </si>
  <si>
    <t>Ambos tramos generan bloques</t>
  </si>
  <si>
    <t>PF-077</t>
  </si>
  <si>
    <t>Citas confirmadas no se alteran</t>
  </si>
  <si>
    <t>Cita confirmada fuera del nuevo rango</t>
  </si>
  <si>
    <t>Reducir la plantilla y guardar</t>
  </si>
  <si>
    <t>El sistema advierte antes de aplicar y la cita confirmada se conserva</t>
  </si>
  <si>
    <t>Aprobado, pero avisa despues, no antes, esta permitido que advierta luego dado que no cambia nada</t>
  </si>
  <si>
    <t>PF-078</t>
  </si>
  <si>
    <t>Plantilla limita el sitio público</t>
  </si>
  <si>
    <t>Especialista con horario acotado</t>
  </si>
  <si>
    <t>Consultar disponibilidad en el sitio</t>
  </si>
  <si>
    <t>Sólo se ofrecen bloques dentro de su plantilla</t>
  </si>
  <si>
    <t>PF-079</t>
  </si>
  <si>
    <t>AGE-005</t>
  </si>
  <si>
    <t>Bloqueo de un día completo</t>
  </si>
  <si>
    <t>Registrar un cierre total de un día</t>
  </si>
  <si>
    <t>Ningún bloque de ese día aparece disponible en el sitio</t>
  </si>
  <si>
    <t>Funciona pero a medias, primeor para cerrar el dia entero habria que generar un bloque de cierre para todos los especialistas 1 por 1. Segundo, al crear el bloque de bloqueo, aparece en la agenda, pero no especifica desede que hora empieza y termina (esto es porque el bloque no fue pensado para mostrar eso antes del refactor visual que quito el formato visual de agenda</t>
  </si>
  <si>
    <t>PF-080</t>
  </si>
  <si>
    <t>Bloqueo parcial</t>
  </si>
  <si>
    <t>Bloquear una franja del día</t>
  </si>
  <si>
    <t>15:00-17:00</t>
  </si>
  <si>
    <t>Sólo esa franja deja de ofrecerse</t>
  </si>
  <si>
    <t>Exactamente lo mismo, pero el mismo caso de antes, no se muestra en la agenda el rango por lo que un especialista no puede saber cuanto dura el bloqueo</t>
  </si>
  <si>
    <t>PF-081</t>
  </si>
  <si>
    <t>Precedencia sobre la plantilla</t>
  </si>
  <si>
    <t>Bloqueo dentro del horario de la especialista</t>
  </si>
  <si>
    <t>Consultar el sitio</t>
  </si>
  <si>
    <t>El bloqueo prevalece y el bloque no se ofrece</t>
  </si>
  <si>
    <t>PF-082</t>
  </si>
  <si>
    <t>Advertencia de citas confirmadas</t>
  </si>
  <si>
    <t>Citas confirmadas en el rango</t>
  </si>
  <si>
    <t>Registrar el bloqueo</t>
  </si>
  <si>
    <t>El sistema lista las citas afectadas y advierte antes de aplicar</t>
  </si>
  <si>
    <t>PF-083</t>
  </si>
  <si>
    <t>Motivo público en el sitio</t>
  </si>
  <si>
    <t>El motivo público se muestra al paciente</t>
  </si>
  <si>
    <t>No se muestra, sino que directamente no aparece el bloque en las posibilidades del especialista, cosa que no me parece mal</t>
  </si>
  <si>
    <t>PF-084</t>
  </si>
  <si>
    <t>Motivo interno no expuesto</t>
  </si>
  <si>
    <t>Consultar el sitio y la respuesta del API público</t>
  </si>
  <si>
    <t>El motivo interno no aparece en ninguna respuesta pública</t>
  </si>
  <si>
    <t>PF-085</t>
  </si>
  <si>
    <t>Reversión del bloqueo</t>
  </si>
  <si>
    <t>Bloqueo activo</t>
  </si>
  <si>
    <t>Revertirlo</t>
  </si>
  <si>
    <t>Los bloques vuelven a estar disponibles y queda traza del bloqueo</t>
  </si>
  <si>
    <t>PF-086</t>
  </si>
  <si>
    <t>Auditoría del bloqueo</t>
  </si>
  <si>
    <t>Bloqueo creado</t>
  </si>
  <si>
    <t>Queda registrada la identidad de quien lo ejecutó</t>
  </si>
  <si>
    <t>Fallido</t>
  </si>
  <si>
    <t>Aparece informacion de auditorio pero no de quien hizo la creacion del bloque</t>
  </si>
  <si>
    <t>PF-087</t>
  </si>
  <si>
    <t>FIC-001</t>
  </si>
  <si>
    <t>Ficha clínica</t>
  </si>
  <si>
    <t>Creación desde una cita</t>
  </si>
  <si>
    <t>Crear la ficha desde el detalle de la cita</t>
  </si>
  <si>
    <t>La ficha se guarda asociada a esa cita</t>
  </si>
  <si>
    <t>Se intento crear una ficha clinica en una reserva hecha desde la web, lo que ocurrio es que aparece como que ya tiene una ficha creada, pero realmente es un documento de consentimiento, arreglar para que se diferencien</t>
  </si>
  <si>
    <t>PF-088</t>
  </si>
  <si>
    <t>Una sola ficha por cita</t>
  </si>
  <si>
    <t>Cita con ficha existente</t>
  </si>
  <si>
    <t>Intentar crear una segunda ficha</t>
  </si>
  <si>
    <t>PF-089</t>
  </si>
  <si>
    <t>No se crea ficha sin cita</t>
  </si>
  <si>
    <t>Intentar crear una ficha sin seleccionar reserva</t>
  </si>
  <si>
    <t>PF-090</t>
  </si>
  <si>
    <t>Reservas sin duplicados en el selector</t>
  </si>
  <si>
    <t>Paciente con una reserva</t>
  </si>
  <si>
    <t>Abrir el selector de reservas del paciente</t>
  </si>
  <si>
    <t>La reserva aparece una sola vez</t>
  </si>
  <si>
    <t>PF-091</t>
  </si>
  <si>
    <t>Búsqueda por nombre y RUT</t>
  </si>
  <si>
    <t>Pacientes cargados</t>
  </si>
  <si>
    <t>Buscar por ambos criterios</t>
  </si>
  <si>
    <t>El buscador devuelve el paciente correcto</t>
  </si>
  <si>
    <t>PF-092</t>
  </si>
  <si>
    <t>Indicador de reservas con ficha</t>
  </si>
  <si>
    <t>Paciente con dos reservas, una con ficha</t>
  </si>
  <si>
    <t>Abrir el listado</t>
  </si>
  <si>
    <t>Se distingue cuál tiene ficha y cuál no</t>
  </si>
  <si>
    <t>PF-093</t>
  </si>
  <si>
    <t>Campos obligatorios</t>
  </si>
  <si>
    <t>Formato con campo obligatorio</t>
  </si>
  <si>
    <t>Guardar dejándolo vacío</t>
  </si>
  <si>
    <t>El sistema impide guardar y señala el campo</t>
  </si>
  <si>
    <t>PF-094</t>
  </si>
  <si>
    <t>Validación por tipo de dato</t>
  </si>
  <si>
    <t>Formato con campo numérico</t>
  </si>
  <si>
    <t>Ingresar texto en el campo numérico</t>
  </si>
  <si>
    <t>abc</t>
  </si>
  <si>
    <t>El sistema rechaza el valor</t>
  </si>
  <si>
    <t>PF-095</t>
  </si>
  <si>
    <t>Autor y fecha automáticos</t>
  </si>
  <si>
    <t>Ficha creada</t>
  </si>
  <si>
    <t>Abrir la ficha</t>
  </si>
  <si>
    <t>Se registran automáticamente el profesional y la fecha de creación</t>
  </si>
  <si>
    <t>No se muestra el la fecha de creación de la ficha, si se muestra la fecha donde se tiene reservado el servicio</t>
  </si>
  <si>
    <t>PF-096</t>
  </si>
  <si>
    <t>Paciente no accede a la ficha</t>
  </si>
  <si>
    <t>Solicitar la ficha con un token de paciente</t>
  </si>
  <si>
    <t>La petición se rechaza</t>
  </si>
  <si>
    <t>PF-097</t>
  </si>
  <si>
    <t>Vinculación por RUT</t>
  </si>
  <si>
    <t>Paciente creado manualmente</t>
  </si>
  <si>
    <t>Iniciar sesión con Google usando el mismo RUT</t>
  </si>
  <si>
    <t>Los registros se vinculan sin duplicar el paciente</t>
  </si>
  <si>
    <t>Se intento inciar sesión con el mismo RUT, pero decia "usuario ocupado por el mismo RUT"</t>
  </si>
  <si>
    <t>PF-098</t>
  </si>
  <si>
    <t>FIC-002</t>
  </si>
  <si>
    <t>Historial cronológico</t>
  </si>
  <si>
    <t>Paciente con varias fichas</t>
  </si>
  <si>
    <t>Abrir una ficha</t>
  </si>
  <si>
    <t>Se presenta el historial anterior en orden cronológico con acceso a cada una</t>
  </si>
  <si>
    <t>PF-099</t>
  </si>
  <si>
    <t>Edición con auditoría</t>
  </si>
  <si>
    <t>Ficha guardada</t>
  </si>
  <si>
    <t>Editarla y revisar la auditoría</t>
  </si>
  <si>
    <t>El cambio queda registrado con identidad individual</t>
  </si>
  <si>
    <t>PF-100</t>
  </si>
  <si>
    <t>Impresión en pestaña aparte</t>
  </si>
  <si>
    <t>Usar la acción de impresión</t>
  </si>
  <si>
    <t>El documento se abre en una pestaña aparte</t>
  </si>
  <si>
    <t>PF-101</t>
  </si>
  <si>
    <t>Exportación a PDF</t>
  </si>
  <si>
    <t>Exportar a PDF</t>
  </si>
  <si>
    <t>El PDF incluye identidad visual y datos del paciente</t>
  </si>
  <si>
    <t>No existe botón directo de exportar pdf en la sección de documentos</t>
  </si>
  <si>
    <t>Adjuntar PDF</t>
  </si>
  <si>
    <t>Adjuntar un archivo PDF</t>
  </si>
  <si>
    <t>Documento de prueba</t>
  </si>
  <si>
    <t>El adjunto se guarda y se visualiza en la ficha</t>
  </si>
  <si>
    <t>Una vez que se edita, aun sigue el botón de adjuntar, lo cual da una ilución falsa de que se puede editar y pero no lo hace. H-23</t>
  </si>
  <si>
    <t>PF-103</t>
  </si>
  <si>
    <t>Adjuntar imagen</t>
  </si>
  <si>
    <t>Adjuntar una imagen</t>
  </si>
  <si>
    <t>JPG de prueba</t>
  </si>
  <si>
    <t>PF-104</t>
  </si>
  <si>
    <t>Descarga del adjunto</t>
  </si>
  <si>
    <t>Adjunto cargado</t>
  </si>
  <si>
    <t>Descargarlo desde la ficha</t>
  </si>
  <si>
    <t>La descarga funciona y exige sesión válida</t>
  </si>
  <si>
    <t>PF-105</t>
  </si>
  <si>
    <t>Validación por contenido real</t>
  </si>
  <si>
    <t>Renombrar un ejecutable a .pdf e intentar adjuntarlo</t>
  </si>
  <si>
    <t>archivo.pdf falso</t>
  </si>
  <si>
    <t>El sistema lo rechaza al inspeccionar el contenido</t>
  </si>
  <si>
    <t>PF-106</t>
  </si>
  <si>
    <t>Ruta de adjunto no predecible</t>
  </si>
  <si>
    <t>Intentar acceder a la ruta del archivo sin sesión</t>
  </si>
  <si>
    <t>El acceso se rechaza y la ruta no es derivable del nombre</t>
  </si>
  <si>
    <t>PF-107</t>
  </si>
  <si>
    <t>Aviso de privacidad</t>
  </si>
  <si>
    <t>Ficha abierta</t>
  </si>
  <si>
    <t>Observar la vista</t>
  </si>
  <si>
    <t>Se advierte de forma visible que el contenido es privado</t>
  </si>
  <si>
    <t>No se obserba niguna indicación que el archivo es privado</t>
  </si>
  <si>
    <t>PF-108</t>
  </si>
  <si>
    <t>FIC-003</t>
  </si>
  <si>
    <t>Plantillas</t>
  </si>
  <si>
    <t>Creación por constructor</t>
  </si>
  <si>
    <t>Sesión autorizada</t>
  </si>
  <si>
    <t>Elegir el tipo de plantilla (Ficha, Consentimiento o Recomendación) y crear una plantilla con dos secciones y tres campos</t>
  </si>
  <si>
    <t>La plantilla se guarda y aparece en el catálogo</t>
  </si>
  <si>
    <t>PF-109</t>
  </si>
  <si>
    <t>Persistencia tras recargar</t>
  </si>
  <si>
    <t>Plantilla creada</t>
  </si>
  <si>
    <t>Recargar el panel</t>
  </si>
  <si>
    <t>La plantilla sigue existiendo</t>
  </si>
  <si>
    <t>PF-110</t>
  </si>
  <si>
    <t>Persistencia tras redespliegue</t>
  </si>
  <si>
    <t>Redesplegar la aplicación</t>
  </si>
  <si>
    <t>PF-111</t>
  </si>
  <si>
    <t>Tipos de campo</t>
  </si>
  <si>
    <t>Constructor abierto</t>
  </si>
  <si>
    <t>Crear un campo de cada tipo</t>
  </si>
  <si>
    <t>Texto corto, largo, número, fecha, selección</t>
  </si>
  <si>
    <t>Los cinco tipos se guardan y validan correctamente</t>
  </si>
  <si>
    <t>PF-112</t>
  </si>
  <si>
    <t>Campo de selección con opciones</t>
  </si>
  <si>
    <t>Definir opciones de un campo de selección</t>
  </si>
  <si>
    <t>Las opciones se guardan y se ofrecen al completar</t>
  </si>
  <si>
    <t>En la vista de crear secciones,no se logra visualizar las eltras que se contienen en los placeholders</t>
  </si>
  <si>
    <t>PF-113</t>
  </si>
  <si>
    <t>Quién completa cada campo</t>
  </si>
  <si>
    <t>Marcar un campo como del paciente y otro del profesional</t>
  </si>
  <si>
    <t>La marca se guarda y determina quién lo ve</t>
  </si>
  <si>
    <t>Al momento de crear la plantilla esta lo a opcion de quien lo completa y se guarda, pero no se marca quien lo debe completar al momento de regsitrar la ficha.</t>
  </si>
  <si>
    <t>PF-114</t>
  </si>
  <si>
    <t>Recuadros de firma</t>
  </si>
  <si>
    <t>Declarar firma de paciente y de profesional</t>
  </si>
  <si>
    <t>Ambos recuadros quedan declarados en el formato</t>
  </si>
  <si>
    <t xml:space="preserve">Se declara solamente  una sola firma, recuadro ambiguo, </t>
  </si>
  <si>
    <t>PF-115</t>
  </si>
  <si>
    <t>Carga desde documento externo</t>
  </si>
  <si>
    <t>Documento Word disponible</t>
  </si>
  <si>
    <t>Subirlo como plantilla</t>
  </si>
  <si>
    <t>Consentimiento de prueba</t>
  </si>
  <si>
    <t>La plantilla se crea conservando la presentación del documento</t>
  </si>
  <si>
    <t>PF-116</t>
  </si>
  <si>
    <t>Vista previa</t>
  </si>
  <si>
    <t>Abrir la vista previa</t>
  </si>
  <si>
    <t>Se muestra cómo quedará al completarse</t>
  </si>
  <si>
    <t>PF-117</t>
  </si>
  <si>
    <t>Versionado</t>
  </si>
  <si>
    <t>Plantilla con documentos creados</t>
  </si>
  <si>
    <t>Modificar la plantilla</t>
  </si>
  <si>
    <t>Se genera una versión nueva y los documentos previos conservan la suya</t>
  </si>
  <si>
    <t>PF-118</t>
  </si>
  <si>
    <t>Advertencia al modificar en uso</t>
  </si>
  <si>
    <t>Plantilla con documentos asociados</t>
  </si>
  <si>
    <t>Intentar modificarlo</t>
  </si>
  <si>
    <t>El sistema advierte cuántos documentos se verían afectados</t>
  </si>
  <si>
    <t>PF-119</t>
  </si>
  <si>
    <t>Eliminación bloqueada</t>
  </si>
  <si>
    <t>Intentar eliminarlo</t>
  </si>
  <si>
    <t>El sistema lo impide y ofrece desactivar</t>
  </si>
  <si>
    <t>No se pueden eliminar los documentos, porque no existe opción de eliminarlos</t>
  </si>
  <si>
    <t>PF-120</t>
  </si>
  <si>
    <t>DOC-001</t>
  </si>
  <si>
    <t>Documentos</t>
  </si>
  <si>
    <t>Asignación de documento a servicio</t>
  </si>
  <si>
    <t>Formato creado</t>
  </si>
  <si>
    <t>Asignarlo a un servicio desde configuración</t>
  </si>
  <si>
    <t>El servicio queda con el documento exigido</t>
  </si>
  <si>
    <t>PF-121</t>
  </si>
  <si>
    <t>Más de un documento por servicio</t>
  </si>
  <si>
    <t>Dos formatos creados</t>
  </si>
  <si>
    <t>Asignar ambos a un mismo servicio</t>
  </si>
  <si>
    <t>El servicio exige los dos documentos</t>
  </si>
  <si>
    <t>PF-122</t>
  </si>
  <si>
    <t>Acceso directo para crear formato</t>
  </si>
  <si>
    <t>Servicio sin formato disponible</t>
  </si>
  <si>
    <t>Abrir la asignación de documentos</t>
  </si>
  <si>
    <t>El sistema ofrece el acceso para crear un formato</t>
  </si>
  <si>
    <t>PF-123</t>
  </si>
  <si>
    <t>Momento tras confirmar reserva</t>
  </si>
  <si>
    <t>Documento configurado para antes de la cita</t>
  </si>
  <si>
    <t>Completar una reserva y pagar</t>
  </si>
  <si>
    <t>El documento se solicita después del pago y no antes</t>
  </si>
  <si>
    <t xml:space="preserve"> </t>
  </si>
  <si>
    <t>PF-124</t>
  </si>
  <si>
    <t>Documento en pantalla tras el pago</t>
  </si>
  <si>
    <t>Observar el retorno de la pasarela</t>
  </si>
  <si>
    <t>El documento se presenta en pantalla para leerlo y firmarlo</t>
  </si>
  <si>
    <t>PF-125</t>
  </si>
  <si>
    <t>Correo de respaldo con enlace</t>
  </si>
  <si>
    <t>Revisar el correo del paciente</t>
  </si>
  <si>
    <t>Llega un correo con enlace a la página de firma, sin archivo adjunto</t>
  </si>
  <si>
    <t>PF-126</t>
  </si>
  <si>
    <t>Firma del paciente</t>
  </si>
  <si>
    <t>Documento abierto</t>
  </si>
  <si>
    <t>Completar los campos y firmar en el recuadro</t>
  </si>
  <si>
    <t>Trazo con el dedo</t>
  </si>
  <si>
    <t>El documento queda firmado y registrado</t>
  </si>
  <si>
    <t>PF-127</t>
  </si>
  <si>
    <t>Paciente no puede descargar</t>
  </si>
  <si>
    <t>Buscar la opción de descarga</t>
  </si>
  <si>
    <t>No existe opción de descarga ni exportación para el paciente</t>
  </si>
  <si>
    <t>PF-128</t>
  </si>
  <si>
    <t>Enlace de un solo uso</t>
  </si>
  <si>
    <t>Enlace ya utilizado</t>
  </si>
  <si>
    <t>Abrirlo por segunda vez</t>
  </si>
  <si>
    <t>El enlace ya no es válido</t>
  </si>
  <si>
    <t>PF-129</t>
  </si>
  <si>
    <t>Enlace expirado</t>
  </si>
  <si>
    <t>Enlace vencido</t>
  </si>
  <si>
    <t>Abrirlo</t>
  </si>
  <si>
    <t>El sistema rechaza el acceso</t>
  </si>
  <si>
    <t>PF-130</t>
  </si>
  <si>
    <t>Firma del profesional posterior</t>
  </si>
  <si>
    <t>Documento firmado por el paciente</t>
  </si>
  <si>
    <t>Firmar como profesional dibujando el trazo sobre el documento (no se reutiliza ninguna firma guardada previamente)</t>
  </si>
  <si>
    <t>El profesional dibuja su firma en el momento y esta queda posterior a la firma del paciente</t>
  </si>
  <si>
    <t>PF-131</t>
  </si>
  <si>
    <t>Estampa sólo con el trazo</t>
  </si>
  <si>
    <t>Documento firmado por ambos</t>
  </si>
  <si>
    <t>Abrir el documento resultante</t>
  </si>
  <si>
    <t>Sólo aparece el trazo; fecha, hora e identidad quedan en el registro</t>
  </si>
  <si>
    <t>PF-132</t>
  </si>
  <si>
    <t>Copia congelada</t>
  </si>
  <si>
    <t>Documento firmado</t>
  </si>
  <si>
    <t>Publicar una versión nueva del formato y reabrir el documento firmado</t>
  </si>
  <si>
    <t>El documento firmado conserva el contenido original</t>
  </si>
  <si>
    <t>PF-133</t>
  </si>
  <si>
    <t>La cita no se bloquea</t>
  </si>
  <si>
    <t>Atender la cita y marcarla como atendida</t>
  </si>
  <si>
    <t>La atención se completa sin exigir el documento</t>
  </si>
  <si>
    <t>PF-134</t>
  </si>
  <si>
    <t>Carga de documento en papel</t>
  </si>
  <si>
    <t>Subir el escaneo desde el detalle de la cita</t>
  </si>
  <si>
    <t>PDF firmado</t>
  </si>
  <si>
    <t>El documento queda asociado con origen escaneo y autor de carga</t>
  </si>
  <si>
    <t>PF-135</t>
  </si>
  <si>
    <t>Carga desde foto</t>
  </si>
  <si>
    <t>Subir una fotografía del documento</t>
  </si>
  <si>
    <t>JPG</t>
  </si>
  <si>
    <t>El sistema la acepta y la asocia a la cita</t>
  </si>
  <si>
    <t>PF-136</t>
  </si>
  <si>
    <t>Sin firma digital en escaneo</t>
  </si>
  <si>
    <t>Documento cargado en papel</t>
  </si>
  <si>
    <t>Revisar el estado</t>
  </si>
  <si>
    <t>No se exige firma digital del profesional</t>
  </si>
  <si>
    <t>PF-137</t>
  </si>
  <si>
    <t>Exclusión entre vías</t>
  </si>
  <si>
    <t>Documento firmado en línea</t>
  </si>
  <si>
    <t>Intentar cargar además un escaneo</t>
  </si>
  <si>
    <t>PF-138</t>
  </si>
  <si>
    <t>Conteo de pendientes</t>
  </si>
  <si>
    <t>Documentos sin regularizar</t>
  </si>
  <si>
    <t>Abrir el panel</t>
  </si>
  <si>
    <t>Se muestra el conteo de documentos pendientes de carga</t>
  </si>
  <si>
    <t>PF-139</t>
  </si>
  <si>
    <t>Consulta previa a la atención</t>
  </si>
  <si>
    <t>Abrir el detalle de la cita antes de atender</t>
  </si>
  <si>
    <t>El profesional puede ver el documento firmado</t>
  </si>
  <si>
    <t>PF-140</t>
  </si>
  <si>
    <t>Recomendaciones al marcar atendida</t>
  </si>
  <si>
    <t>Servicio con documento posterior</t>
  </si>
  <si>
    <t>Marcar la cita como atendida</t>
  </si>
  <si>
    <t>El paciente recibe el documento de recomendaciones por correo</t>
  </si>
  <si>
    <t>PF-141</t>
  </si>
  <si>
    <t>Reserva manual dispara el correo</t>
  </si>
  <si>
    <t>Reserva creada desde el panel</t>
  </si>
  <si>
    <t>El correo con los documentos llega sin mediar pago de anticipo</t>
  </si>
  <si>
    <t>PF-142</t>
  </si>
  <si>
    <t>Auditoría de documentos</t>
  </si>
  <si>
    <t>Documento firmado y cargado</t>
  </si>
  <si>
    <t>Creación, firma, carga y consulta quedan registradas con identidad</t>
  </si>
  <si>
    <t>PF-143</t>
  </si>
  <si>
    <t>ADM-001</t>
  </si>
  <si>
    <t>Configuración del sitio</t>
  </si>
  <si>
    <t>Edición del banner</t>
  </si>
  <si>
    <t>Editar el mensaje central y guardar</t>
  </si>
  <si>
    <t>El cambio se refleja en el sitio público</t>
  </si>
  <si>
    <t>En la sección del banner, lo unico que no se puede modificar es el titulo principal</t>
  </si>
  <si>
    <t>PF-144</t>
  </si>
  <si>
    <t>Misión y visión</t>
  </si>
  <si>
    <t>Editar ambos textos</t>
  </si>
  <si>
    <t>Los cambios se reflejan en el sitio</t>
  </si>
  <si>
    <t>PF-145</t>
  </si>
  <si>
    <t>Alta de integrante</t>
  </si>
  <si>
    <t>Crear un quinto integrante con foto, cargo, correo y biografía</t>
  </si>
  <si>
    <t>Aparece en el sitio y queda disponible para agendamiento</t>
  </si>
  <si>
    <t>PF-146</t>
  </si>
  <si>
    <t>Desactivación de integrante</t>
  </si>
  <si>
    <t>Integrante con citas confirmadas</t>
  </si>
  <si>
    <t>Desactivarlo</t>
  </si>
  <si>
    <t>Se advierte de las citas vigentes y deja de ofrecerse para nuevas reservas</t>
  </si>
  <si>
    <t>No existe botón para desactivar</t>
  </si>
  <si>
    <t>PF-147</t>
  </si>
  <si>
    <t>Servicios habilitados por integrante</t>
  </si>
  <si>
    <t>Integrante creado</t>
  </si>
  <si>
    <t>Habilitar sólo masoterapia</t>
  </si>
  <si>
    <t>Sólo se ofrece para esos servicios en la reserva</t>
  </si>
  <si>
    <t>Al seleccionar los servicios que ofrece, no refleja el especialista al momento de resevar</t>
  </si>
  <si>
    <t>PF-148</t>
  </si>
  <si>
    <t>Relación de aspecto de fotos</t>
  </si>
  <si>
    <t>Fotos cargadas</t>
  </si>
  <si>
    <t>Revisar las tarjetas del equipo en escritorio y móvil</t>
  </si>
  <si>
    <t>Las fotos conservan su proporción y no se ven comprimidas</t>
  </si>
  <si>
    <t>PF-149</t>
  </si>
  <si>
    <t>Sección de vouchers</t>
  </si>
  <si>
    <t>Cargar título, subtítulo y tres fotos</t>
  </si>
  <si>
    <t>La sección aparece después de instalaciones y antes de ubicación</t>
  </si>
  <si>
    <t>PF-150</t>
  </si>
  <si>
    <t>Botón de Apple Maps</t>
  </si>
  <si>
    <t>Sección de ubicación</t>
  </si>
  <si>
    <t>Abrir el sitio y usar ambos botones</t>
  </si>
  <si>
    <t>Google Maps y Apple Maps abren la ubicación correcta con el mismo tratamiento visual</t>
  </si>
  <si>
    <t>PF-151</t>
  </si>
  <si>
    <t>Etiqueta de opiniones</t>
  </si>
  <si>
    <t>Sitio publicado</t>
  </si>
  <si>
    <t>Revisar la sección de reseñas</t>
  </si>
  <si>
    <t>Se identifica como opiniones de Google</t>
  </si>
  <si>
    <t>Funcionando en el entorno de producción</t>
  </si>
  <si>
    <t>PF-152</t>
  </si>
  <si>
    <t>Reseñas reales</t>
  </si>
  <si>
    <t>Credencial e identificador cargados</t>
  </si>
  <si>
    <t>Guardar y recargar el sitio</t>
  </si>
  <si>
    <t>Se muestran las reseñas reales hasta el máximo configurado</t>
  </si>
  <si>
    <t>PF-153</t>
  </si>
  <si>
    <t>Video de Instagram</t>
  </si>
  <si>
    <t>Enlace cargado en el panel</t>
  </si>
  <si>
    <t>URL del reel</t>
  </si>
  <si>
    <t>El video se muestra correctamente</t>
  </si>
  <si>
    <t>PF-154</t>
  </si>
  <si>
    <t>Galería de instalaciones</t>
  </si>
  <si>
    <t>Agregar y quitar imágenes</t>
  </si>
  <si>
    <t>La galería del sitio refleja los cambios</t>
  </si>
  <si>
    <t>No existe galería de instalaciones</t>
  </si>
  <si>
    <t>PF-155</t>
  </si>
  <si>
    <t>Mapa de procesos</t>
  </si>
  <si>
    <t>Editar una etapa</t>
  </si>
  <si>
    <t>El cambio se refleja en el sitio</t>
  </si>
  <si>
    <t>PF-156</t>
  </si>
  <si>
    <t>Datos de contacto y redes</t>
  </si>
  <si>
    <t>Actualizar correo, WhatsApp y redes</t>
  </si>
  <si>
    <t>Los cambios se reflejan en el pie del sitio</t>
  </si>
  <si>
    <t>PF-157</t>
  </si>
  <si>
    <t>Carga de imagen pesada</t>
  </si>
  <si>
    <t>Imagen de gran tamaño</t>
  </si>
  <si>
    <t>Subirla desde el panel</t>
  </si>
  <si>
    <t>Imagen de 25 MB</t>
  </si>
  <si>
    <t>El sistema la procesa y optimiza, o informa el límite con claridad</t>
  </si>
  <si>
    <t>Se intento agregar uina imagen de 5MB donde se reconoció un error de red, otras imagenes mas livianas se agregan sin problema</t>
  </si>
  <si>
    <t>PF-158</t>
  </si>
  <si>
    <t>Rechazo sobre el límite</t>
  </si>
  <si>
    <t>Archivo sobre el máximo</t>
  </si>
  <si>
    <t>Intentar subirlo</t>
  </si>
  <si>
    <t>El sistema lo rechaza informando el tamaño máximo</t>
  </si>
  <si>
    <t>Solo indica que ahay un error de red, suficiente pero no especifico</t>
  </si>
  <si>
    <t>PF-159</t>
  </si>
  <si>
    <t>Catálogo de servicios</t>
  </si>
  <si>
    <t>Crear, editar y desactivar un servicio</t>
  </si>
  <si>
    <t>Los cambios se reflejan en el sitio y en la reserva</t>
  </si>
  <si>
    <t>PF-160</t>
  </si>
  <si>
    <t>Duración del servicio</t>
  </si>
  <si>
    <t>Interruptor activo</t>
  </si>
  <si>
    <t>Asignar 60 minutos a un servicio</t>
  </si>
  <si>
    <t>La duración se guarda y condiciona la reserva</t>
  </si>
  <si>
    <t>Solo se puede asignar  a un servicio nuevo, sin empargo no se puede con un servicio ya creado</t>
  </si>
  <si>
    <t>PF-161</t>
  </si>
  <si>
    <t>Auditoría de contenido</t>
  </si>
  <si>
    <t>Cambio guardado</t>
  </si>
  <si>
    <t>Queda registrada la identidad del administrador</t>
  </si>
  <si>
    <t>PF-162</t>
  </si>
  <si>
    <t>AGE-006</t>
  </si>
  <si>
    <t>Reserva manual</t>
  </si>
  <si>
    <t>Cuatro pasos del asistente</t>
  </si>
  <si>
    <t>Sesión de personal</t>
  </si>
  <si>
    <t>Recorrer el asistente</t>
  </si>
  <si>
    <t>El orden es servicio, horario, paciente y notas con resumen</t>
  </si>
  <si>
    <t>PF-163</t>
  </si>
  <si>
    <t>Búsqueda de paciente</t>
  </si>
  <si>
    <t>Buscar por RUT y por nombre</t>
  </si>
  <si>
    <t>PF-164</t>
  </si>
  <si>
    <t>Registro de paciente nuevo</t>
  </si>
  <si>
    <t>Asistente abierto</t>
  </si>
  <si>
    <t>Registrar un paciente con los cinco datos obligatorios</t>
  </si>
  <si>
    <t>El paciente se crea y queda seleccionado</t>
  </si>
  <si>
    <t>PF-165</t>
  </si>
  <si>
    <t>RUT obligatorio</t>
  </si>
  <si>
    <t>Intentar registrar sin RUT</t>
  </si>
  <si>
    <t>PF-166</t>
  </si>
  <si>
    <t>Sin anticipo</t>
  </si>
  <si>
    <t>Reserva manual creada</t>
  </si>
  <si>
    <t>Revisar la cita</t>
  </si>
  <si>
    <t>No se exige ni se registra anticipo</t>
  </si>
  <si>
    <t>PF-167</t>
  </si>
  <si>
    <t>Origen registrado</t>
  </si>
  <si>
    <t>Revisar el detalle y el reporte de origen</t>
  </si>
  <si>
    <t>La cita queda marcada como manual</t>
  </si>
  <si>
    <t>PF-168</t>
  </si>
  <si>
    <t>Dos tipos de nota</t>
  </si>
  <si>
    <t>Ingresar nota para el paciente y nota interna</t>
  </si>
  <si>
    <t>Ambas se guardan y sólo la del paciente llega al correo</t>
  </si>
  <si>
    <t>PF-169</t>
  </si>
  <si>
    <t>Respeto de disponibilidad</t>
  </si>
  <si>
    <t>Bloque ocupado</t>
  </si>
  <si>
    <t>Intentar agendar sobre él</t>
  </si>
  <si>
    <t>PF-170</t>
  </si>
  <si>
    <t>Especialista agenda sólo su agenda</t>
  </si>
  <si>
    <t>Intentar agendar en la agenda de otra</t>
  </si>
  <si>
    <t>Un especialista puede reservar a nombre de otro especialista</t>
  </si>
  <si>
    <t>PF-171</t>
  </si>
  <si>
    <t>Administrador agenda en cualquiera</t>
  </si>
  <si>
    <t>Agendar en la agenda de una especialista</t>
  </si>
  <si>
    <t>La cita se crea correctamente</t>
  </si>
  <si>
    <t>PF-172</t>
  </si>
  <si>
    <t>Auditoría de la cita manual</t>
  </si>
  <si>
    <t>Cita creada</t>
  </si>
  <si>
    <t>Queda la identidad de quien la creó</t>
  </si>
  <si>
    <t>Esta la identidad de la especialista a atender, pero no quie lo reservó</t>
  </si>
  <si>
    <t>PF-173</t>
  </si>
  <si>
    <t>AGE-007</t>
  </si>
  <si>
    <t>Confirmación</t>
  </si>
  <si>
    <t>Origen de confirmación</t>
  </si>
  <si>
    <t>Cita por confirmar</t>
  </si>
  <si>
    <t>Confirmarla manualmente</t>
  </si>
  <si>
    <t>Se registra el origen Profesional y es visible en el detalle</t>
  </si>
  <si>
    <t>PF-174</t>
  </si>
  <si>
    <t>Auditoría del origen</t>
  </si>
  <si>
    <t>Confirmación realizada</t>
  </si>
  <si>
    <t>El origen queda junto a la identidad de quien confirmó</t>
  </si>
  <si>
    <t>Solo se ve el especialista en el qu4e se registro para que haga el servicio</t>
  </si>
  <si>
    <t>PF-175</t>
  </si>
  <si>
    <t>PAC-001</t>
  </si>
  <si>
    <t>Listado y buscador</t>
  </si>
  <si>
    <t>Buscar por RUT, nombre y correo</t>
  </si>
  <si>
    <t>El listado responde correctamente a los tres criterios</t>
  </si>
  <si>
    <t>PF-176</t>
  </si>
  <si>
    <t>Perfil consolidado</t>
  </si>
  <si>
    <t>Paciente con historial</t>
  </si>
  <si>
    <t>Abrir su perfil</t>
  </si>
  <si>
    <t>Muestra contacto, historial de citas y acceso a fichas</t>
  </si>
  <si>
    <t>PF-177</t>
  </si>
  <si>
    <t>Contadores de actividad</t>
  </si>
  <si>
    <t>Paciente con citas en distintos estados</t>
  </si>
  <si>
    <t>Los contadores de atendidas, canceladas y no asistidas son correctos</t>
  </si>
  <si>
    <t>PF-178</t>
  </si>
  <si>
    <t>Estado de documentos</t>
  </si>
  <si>
    <t>Paciente con documento pendiente</t>
  </si>
  <si>
    <t>Se distingue qué documentos están firmados y cuáles pendientes</t>
  </si>
  <si>
    <t>PF-179</t>
  </si>
  <si>
    <t>VEN-001</t>
  </si>
  <si>
    <t>Ventas</t>
  </si>
  <si>
    <t>Registro con efectivo</t>
  </si>
  <si>
    <t>Registrar una venta en efectivo</t>
  </si>
  <si>
    <t>32.000</t>
  </si>
  <si>
    <t>La venta se registra sin comisión de terminal</t>
  </si>
  <si>
    <t>PF-180</t>
  </si>
  <si>
    <t>Registro con transferencia</t>
  </si>
  <si>
    <t>Registrar una venta por transferencia</t>
  </si>
  <si>
    <t>PF-181</t>
  </si>
  <si>
    <t>Registro con débito</t>
  </si>
  <si>
    <t>Terminal configurado</t>
  </si>
  <si>
    <t>Registrar una venta con débito</t>
  </si>
  <si>
    <t>Se aplica la comisión de débito del terminal</t>
  </si>
  <si>
    <t>Al poner un monto manual, el 0 persiste como saldo y puede tenenderse a confucniones ya que se muestra como "032000", pero aún así no afecta el monto es como mas de experiencia de usuario.</t>
  </si>
  <si>
    <t>PF-182</t>
  </si>
  <si>
    <t>Registro con crédito</t>
  </si>
  <si>
    <t>Registrar una venta con crédito</t>
  </si>
  <si>
    <t>Se aplica la comisión de crédito del terminal</t>
  </si>
  <si>
    <t>PF-183</t>
  </si>
  <si>
    <t>Alta de terminal</t>
  </si>
  <si>
    <t>Crear un terminal con plazo de abono y comisiones</t>
  </si>
  <si>
    <t>El terminal queda disponible para registrar ventas</t>
  </si>
  <si>
    <t>Se intento con el especialista, y expulsa un 403, esta correcto, pero mejorar el mensjae como usuario no autorizado</t>
  </si>
  <si>
    <t>PF-184</t>
  </si>
  <si>
    <t>Plazo en días hábiles</t>
  </si>
  <si>
    <t>Terminal creado</t>
  </si>
  <si>
    <t>Revisar la etiqueta del plazo de abono</t>
  </si>
  <si>
    <t>Se expresa en días hábiles</t>
  </si>
  <si>
    <t>PF-185</t>
  </si>
  <si>
    <t>Notas del terminal</t>
  </si>
  <si>
    <t>Ingresar notas y guardar</t>
  </si>
  <si>
    <t>Modelo mixto contratado</t>
  </si>
  <si>
    <t>Las notas se ven en el detalle del terminal y en el de las ventas</t>
  </si>
  <si>
    <t>PF-186</t>
  </si>
  <si>
    <t>Comisión porcentual</t>
  </si>
  <si>
    <t>Terminal con modelo porcentual</t>
  </si>
  <si>
    <t>La comisión se calcula sólo como porcentaje</t>
  </si>
  <si>
    <t>PF-187</t>
  </si>
  <si>
    <t>Comisión mixta</t>
  </si>
  <si>
    <t>Terminal con modelo mixto</t>
  </si>
  <si>
    <t>Porcentaje más cargo fijo</t>
  </si>
  <si>
    <t>La comisión suma el porcentaje y el cargo fijo</t>
  </si>
  <si>
    <t>PF-188</t>
  </si>
  <si>
    <t>Impuesto sobre la comisión</t>
  </si>
  <si>
    <t>Terminal con impuesto activo</t>
  </si>
  <si>
    <t>El impuesto de la comisión se incorpora al cálculo</t>
  </si>
  <si>
    <t>PF-189</t>
  </si>
  <si>
    <t>Vigencia de comisión</t>
  </si>
  <si>
    <t>Comisión modificada con nueva vigencia</t>
  </si>
  <si>
    <t>Revisar ventas anteriores</t>
  </si>
  <si>
    <t>Las ventas previas conservan el cálculo con la comisión anterior</t>
  </si>
  <si>
    <t>PF-190</t>
  </si>
  <si>
    <t>Ítems no agendados</t>
  </si>
  <si>
    <t>Venta abierta</t>
  </si>
  <si>
    <t>Agregar propina y un producto</t>
  </si>
  <si>
    <t>Los ítems se suman al total de la venta</t>
  </si>
  <si>
    <t>PF-191</t>
  </si>
  <si>
    <t>Precio fijo por servicio</t>
  </si>
  <si>
    <t>Mismo servicio</t>
  </si>
  <si>
    <t>Registrar la misma venta con débito y con crédito</t>
  </si>
  <si>
    <t>El precio del servicio no varía; sólo cambia la comisión</t>
  </si>
  <si>
    <t>PF-192</t>
  </si>
  <si>
    <t>Descuento de convenio como primer descuento</t>
  </si>
  <si>
    <t>Paciente con convenio vigente</t>
  </si>
  <si>
    <t>Registrar la venta y abrir el listado</t>
  </si>
  <si>
    <t>PF-193</t>
  </si>
  <si>
    <t>Columnas del listado</t>
  </si>
  <si>
    <t>Ventas registradas</t>
  </si>
  <si>
    <t>Se muestran las columnas definidas, desde monto bruto hasta margen de la empresa</t>
  </si>
  <si>
    <t>PF-194</t>
  </si>
  <si>
    <t>Desglose paso a paso</t>
  </si>
  <si>
    <t>Venta registrada</t>
  </si>
  <si>
    <t>Se muestra el cálculo completo desde el bruto hasta el reparto final</t>
  </si>
  <si>
    <t>PF-195</t>
  </si>
  <si>
    <t>Margen empresa</t>
  </si>
  <si>
    <t>Revisar la nomenclatura</t>
  </si>
  <si>
    <t>Se identifica como margen de la empresa y no como margen clínica</t>
  </si>
  <si>
    <t>PF-196</t>
  </si>
  <si>
    <t>Filtros del listado</t>
  </si>
  <si>
    <t>Ventas en distintas fechas</t>
  </si>
  <si>
    <t>Aplicar cada filtro</t>
  </si>
  <si>
    <t>Hoy, ayer, 30 días, 10 semanas, personalizado</t>
  </si>
  <si>
    <t>Cada filtro devuelve el conjunto correcto</t>
  </si>
  <si>
    <t>PF-197</t>
  </si>
  <si>
    <t>Filtro por método de pago</t>
  </si>
  <si>
    <t>Ventas con los cuatro métodos</t>
  </si>
  <si>
    <t>Filtrar por cada uno</t>
  </si>
  <si>
    <t>El listado responde correctamente</t>
  </si>
  <si>
    <t>PF-198</t>
  </si>
  <si>
    <t>Exportación a hoja de cálculo</t>
  </si>
  <si>
    <t>Exportar</t>
  </si>
  <si>
    <t>Se descarga el archivo con los datos filtrados</t>
  </si>
  <si>
    <t>PF-209</t>
  </si>
  <si>
    <t>REP-002</t>
  </si>
  <si>
    <t>Definición de porcentaje</t>
  </si>
  <si>
    <t>Definir 50% para una profesional</t>
  </si>
  <si>
    <t>El acuerdo se guarda con su vigencia</t>
  </si>
  <si>
    <t>En efecto funciona la repartición, pero al momento de realizar la venta, no se especifica a que profesional le pertences el reparto, solo se indica el nombre de quien registro la venta, a menos que se deba asumir que el que registro la venta, es el individuo con el que se reparte.</t>
  </si>
  <si>
    <t>PF-210</t>
  </si>
  <si>
    <t>Cálculo sobre el neto</t>
  </si>
  <si>
    <t>Venta de 100.000 con impuesto 19% y reparto 50%</t>
  </si>
  <si>
    <t>Registrar la venta y revisar el desglose</t>
  </si>
  <si>
    <t>El reparto se calcula sobre el monto sin impuesto, no sobre el bruto</t>
  </si>
  <si>
    <t>r</t>
  </si>
  <si>
    <t>¿No seria con el monto con inpuestesto?. el monto bruto es sin impuesto</t>
  </si>
  <si>
    <t>PF-211</t>
  </si>
  <si>
    <t>Descuento de la comisión</t>
  </si>
  <si>
    <t>Venta con terminal</t>
  </si>
  <si>
    <t>Revisar el desglose</t>
  </si>
  <si>
    <t>La comisión del terminal se descuenta del reparto</t>
  </si>
  <si>
    <t>PF-212</t>
  </si>
  <si>
    <t>Vigencia del acuerdo</t>
  </si>
  <si>
    <t>Acuerdo modificado desde una fecha</t>
  </si>
  <si>
    <t>Revisar ventas anteriores y posteriores</t>
  </si>
  <si>
    <t>Cada venta usa el acuerdo vigente a su fecha</t>
  </si>
  <si>
    <t>PF-213</t>
  </si>
  <si>
    <t>Tasa de impuesto configurable</t>
  </si>
  <si>
    <t>Modificar la tasa con nueva vigencia</t>
  </si>
  <si>
    <t>Las ventas nuevas usan la tasa nueva y las anteriores conservan la suya</t>
  </si>
  <si>
    <t>PF-215</t>
  </si>
  <si>
    <t>Acceso exclusivo</t>
  </si>
  <si>
    <t>Intentar abrir el reporte</t>
  </si>
  <si>
    <t>PF-216</t>
  </si>
  <si>
    <t>NOT-001</t>
  </si>
  <si>
    <t>Notificaciones</t>
  </si>
  <si>
    <t>Correo de confirmación</t>
  </si>
  <si>
    <t>Llega con especialista, servicio, fecha y hora</t>
  </si>
  <si>
    <t>PF-217</t>
  </si>
  <si>
    <t>Correo de documentos</t>
  </si>
  <si>
    <t>Servicio con documento</t>
  </si>
  <si>
    <t>Llega el correo con el enlace de firma</t>
  </si>
  <si>
    <t>PF-218</t>
  </si>
  <si>
    <t>Correo de recordatorio</t>
  </si>
  <si>
    <t>Cita futura</t>
  </si>
  <si>
    <t>Esperar la antelación configurada</t>
  </si>
  <si>
    <t>Llega el recordatorio</t>
  </si>
  <si>
    <t>PF-219</t>
  </si>
  <si>
    <t>Correo post atención</t>
  </si>
  <si>
    <t>Cita marcada como atendida</t>
  </si>
  <si>
    <t>Revisar el correo</t>
  </si>
  <si>
    <t>Llega el documento de recomendaciones</t>
  </si>
  <si>
    <t>PF-220</t>
  </si>
  <si>
    <t>Nota del paciente en el correo</t>
  </si>
  <si>
    <t>Reserva manual con nota</t>
  </si>
  <si>
    <t>La nota para el paciente aparece; la nota interna no</t>
  </si>
  <si>
    <t>PF-221</t>
  </si>
  <si>
    <t>Registro de envíos</t>
  </si>
  <si>
    <t>Correos enviados</t>
  </si>
  <si>
    <t>Consultar el registro</t>
  </si>
  <si>
    <t>Cada envío guarda tipo, destinatario, estado e intentos</t>
  </si>
  <si>
    <t>PF-222</t>
  </si>
  <si>
    <t>Reintento ante fallo</t>
  </si>
  <si>
    <t>Servicio de correo caído</t>
  </si>
  <si>
    <t>Provocar un fallo de envío</t>
  </si>
  <si>
    <t>El envío queda como fallido y se reintenta sin interrumpir la operación</t>
  </si>
  <si>
    <t>PF-223</t>
  </si>
  <si>
    <t>Creación desde cita Confirmada</t>
  </si>
  <si>
    <t>Cita Confirmada, sin ficha</t>
  </si>
  <si>
    <t>Registrar la ficha desde el detalle de la cita antes de marcarla Atendida</t>
  </si>
  <si>
    <t>La ficha se crea sin exigir que la cita esté Atendida</t>
  </si>
  <si>
    <t>No se puede agregar una ficha.</t>
  </si>
  <si>
    <t>PF-224</t>
  </si>
  <si>
    <t>FIC-004</t>
  </si>
  <si>
    <t>Ficha nace como borrador editable</t>
  </si>
  <si>
    <t>Ficha recién creada</t>
  </si>
  <si>
    <t>Abrirla</t>
  </si>
  <si>
    <t>Aparece en estado Borrador y admite edición</t>
  </si>
  <si>
    <t>Se registra correctamente, pero no se muestra los ultimos editados, fue necesario buscar la ficha en particular.</t>
  </si>
  <si>
    <t>PF-225</t>
  </si>
  <si>
    <t>Cierre explícito con aviso de irreversibilidad</t>
  </si>
  <si>
    <t>Ficha en Borrador con contenido</t>
  </si>
  <si>
    <t>Cerrarla</t>
  </si>
  <si>
    <t>El sistema advierte que no podrá editarse antes de confirmar</t>
  </si>
  <si>
    <t>PF-226</t>
  </si>
  <si>
    <t>Ficha cerrada rechaza edición</t>
  </si>
  <si>
    <t>Ficha cerrada</t>
  </si>
  <si>
    <t>Intentar editarla</t>
  </si>
  <si>
    <t>Efectivamente, no permite editar, pero aun existe un botón de adjuntar, no permite hacer cambios, pero no deberia estar</t>
  </si>
  <si>
    <t>PF-227</t>
  </si>
  <si>
    <t>Tipo obligatorio al crear plantilla</t>
  </si>
  <si>
    <t>Intentar guardar sin elegir tipo</t>
  </si>
  <si>
    <t>PF-228</t>
  </si>
  <si>
    <t>Rechazo de tipo incorrecto a nivel de API</t>
  </si>
  <si>
    <t>Plantilla de tipo Consentimiento</t>
  </si>
  <si>
    <t>Enviar directamente (sin pasar por la interfaz) una petición para registrar una Ficha usando esa plantilla</t>
  </si>
  <si>
    <t>El backend rechaza la operación, no solo la interfaz</t>
  </si>
  <si>
    <t>PF-229</t>
  </si>
  <si>
    <t>DOC-002</t>
  </si>
  <si>
    <t>Recomendaciones</t>
  </si>
  <si>
    <t>Pregunta obligatoria al marcar atendida</t>
  </si>
  <si>
    <t>Cita por marcar Atendida, servicio con recomendación asignada</t>
  </si>
  <si>
    <t>Marcar la cita como Atendida</t>
  </si>
  <si>
    <t>El sistema pregunta si se desea enviar una recomendación antes de continuar</t>
  </si>
  <si>
    <t>Bloqueado</t>
  </si>
  <si>
    <t>Existe un error de red al mandar una recomendación</t>
  </si>
  <si>
    <t>Módulo Recomendaciones nuevo — verificar si ya tiene número de historia asignado en Historias de Usuario v-final; se usa DOC-002 como referencia provisoria.</t>
  </si>
  <si>
    <t>PF-230</t>
  </si>
  <si>
    <t>No enviar si no se responde o se responde que no</t>
  </si>
  <si>
    <t>Pregunta mostrada</t>
  </si>
  <si>
    <t>Cerrar el diálogo sin responder, y por separado responder "No"</t>
  </si>
  <si>
    <t>En ambos casos no se envía ningún correo</t>
  </si>
  <si>
    <t>PF-231</t>
  </si>
  <si>
    <t>Recomendación estándar del servicio</t>
  </si>
  <si>
    <t>Servicio con recomendación estándar configurada</t>
  </si>
  <si>
    <t>Elegir "estándar"</t>
  </si>
  <si>
    <t>El paciente recibe por correo el contenido de la plantilla del servicio</t>
  </si>
  <si>
    <t>PF-232</t>
  </si>
  <si>
    <t>Recomendación personalizada — PDF adjunto</t>
  </si>
  <si>
    <t>Cita atendida</t>
  </si>
  <si>
    <t>Elegir "personalizada" y adjuntar un PDF</t>
  </si>
  <si>
    <t>El paciente recibe ese PDF específico, no la estándar</t>
  </si>
  <si>
    <t>PF-233</t>
  </si>
  <si>
    <t>Recomendación personalizada — plantilla completada</t>
  </si>
  <si>
    <t>Elegir "personalizada" y completar una plantilla de recomendación</t>
  </si>
  <si>
    <t>El paciente recibe el contenido completado, no la estándar</t>
  </si>
  <si>
    <t>PF-234</t>
  </si>
  <si>
    <t xml:space="preserve">  </t>
  </si>
  <si>
    <t>Recomendación estándar ya enviada para esa cita</t>
  </si>
  <si>
    <t>Enviar una personalizada para la misma cita</t>
  </si>
  <si>
    <t>Se actualiza el mismo registro; el paciente recibe una sola recomendación, no dos correos</t>
  </si>
  <si>
    <t>PF-235</t>
  </si>
  <si>
    <t>Ambas variantes quedan en el listado</t>
  </si>
  <si>
    <t>Recomendación enviada (cualquier variante)</t>
  </si>
  <si>
    <t>Abrir el listado de documentos</t>
  </si>
  <si>
    <t>Aparece con su tipo y, si es personalizada, con su contenido propio; si es estándar, con qué se envió y cuándo</t>
  </si>
  <si>
    <t>PF-236</t>
  </si>
  <si>
    <t>Kinesiología sin recomendación asignada no pregunta nada</t>
  </si>
  <si>
    <t>Cita de Kinesiología marcada Atendida</t>
  </si>
  <si>
    <t>Observar el flujo</t>
  </si>
  <si>
    <t>No aparece la pregunta de recomendación</t>
  </si>
  <si>
    <t>PF-237</t>
  </si>
  <si>
    <t>Especialista lee documentos de otra</t>
  </si>
  <si>
    <t>Dos especialistas, cada una con documentos propios</t>
  </si>
  <si>
    <t>Especialista A abre el listado y el detalle de un documento de la Especialista B</t>
  </si>
  <si>
    <t>Puede verlo completo</t>
  </si>
  <si>
    <t>Invierte deliberadamente el requisito 7.11 del acta de requerimientos ('una especialista solo ve los documentos de las atenciones que realizó'). No es un hallazgo si el resultado es el de esta fila.</t>
  </si>
  <si>
    <t>PF-238</t>
  </si>
  <si>
    <t>Especialista no puede crear ni editar sobre citas ajenas</t>
  </si>
  <si>
    <t>Cita de la Especialista B</t>
  </si>
  <si>
    <t>Especialista A intenta crear o editar una ficha sobre esa cita</t>
  </si>
  <si>
    <t>El sistema lo rechaza</t>
  </si>
  <si>
    <t>PF-239</t>
  </si>
  <si>
    <t>Vencimiento con nueva fórmula</t>
  </si>
  <si>
    <t>Enlace reemitido para una cita ya pasada</t>
  </si>
  <si>
    <t>Calcular la fecha de vencimiento</t>
  </si>
  <si>
    <t>Vence 1 día después de la emisión, nunca en el pasado</t>
  </si>
  <si>
    <t>PF-240</t>
  </si>
  <si>
    <t>Reenvío por correo</t>
  </si>
  <si>
    <t>Enlace vigente</t>
  </si>
  <si>
    <t>Usar la opción de reenviar (no solo copiar)</t>
  </si>
  <si>
    <t>El paciente recibe un nuevo correo con el enlace</t>
  </si>
  <si>
    <t>PF-241</t>
  </si>
  <si>
    <t>Texto "cargado el…", nunca "firmado el…"</t>
  </si>
  <si>
    <t>Ver el detalle</t>
  </si>
  <si>
    <t>Se muestra "cargado el [fecha]", nunca "firmado el"</t>
  </si>
  <si>
    <t>PF-242</t>
  </si>
  <si>
    <t>Distinción firmado digital vs. papel</t>
  </si>
  <si>
    <t>Un documento de cada tipo</t>
  </si>
  <si>
    <t>Ver el listado y el detalle</t>
  </si>
  <si>
    <t>Ambos casos son visualmente distinguibles entre sí</t>
  </si>
  <si>
    <t>PF-243</t>
  </si>
  <si>
    <t>Cancelar cita bloquea sus documentos</t>
  </si>
  <si>
    <t>Cita con documentos asociados</t>
  </si>
  <si>
    <t>Los documentos pasan a Bloqueado con motivo registrado</t>
  </si>
  <si>
    <t>PF-244</t>
  </si>
  <si>
    <t>Baja de especialista cierra sus documentos vigentes</t>
  </si>
  <si>
    <t>Especialista con documentos vigentes</t>
  </si>
  <si>
    <t>Darla de baja</t>
  </si>
  <si>
    <t>Sus documentos pasan a Cerrado por baja con motivo registrado</t>
  </si>
  <si>
    <t>No hay opción para dejar de baja un documento</t>
  </si>
  <si>
    <t>PF-245</t>
  </si>
  <si>
    <t>Documentos bloqueados/cerrados por baja siguen en el listado</t>
  </si>
  <si>
    <t>Documento bloqueado o cerrado por baja</t>
  </si>
  <si>
    <t>Sigue apareciendo, con su estado visible, no desaparece</t>
  </si>
  <si>
    <t>PF-246</t>
  </si>
  <si>
    <t>Documento cerrado por baja no se confunde con uno firmado</t>
  </si>
  <si>
    <t>Documento cerrado por baja</t>
  </si>
  <si>
    <t>Verlo en listado y detalle</t>
  </si>
  <si>
    <t>Se distingue claramente de un documento firmado normalmente</t>
  </si>
  <si>
    <t>PF-247</t>
  </si>
  <si>
    <t>"Ver auditoría" es acción separada de "ver firma"</t>
  </si>
  <si>
    <t>Documento con historial</t>
  </si>
  <si>
    <t>Existen dos acciones distintas: una para quién firmó y cuándo, otra para la auditoría completa</t>
  </si>
  <si>
    <t>PF-248</t>
  </si>
  <si>
    <t>Auditoría nunca expone IP ni token</t>
  </si>
  <si>
    <t>Documento con historial de acceso</t>
  </si>
  <si>
    <t>No aparece IP ni token en ningún campo visible</t>
  </si>
  <si>
    <t>PF-249</t>
  </si>
  <si>
    <t>Consentimiento reutilizado aparece una sola vez</t>
  </si>
  <si>
    <t>Consentimiento vigente que cubre varias citas</t>
  </si>
  <si>
    <t>Abrir el listado general</t>
  </si>
  <si>
    <t>Aparece una sola fila, en la cita donde se firmó</t>
  </si>
  <si>
    <t>PF-250</t>
  </si>
  <si>
    <t>Cobertura visible al abrir cada cita cubierta</t>
  </si>
  <si>
    <t>Cita cubierta por un consentimiento anterior</t>
  </si>
  <si>
    <t>Abrir su detalle</t>
  </si>
  <si>
    <t>Indica que está cubierta por una firma anterior</t>
  </si>
  <si>
    <t>PF-251</t>
  </si>
  <si>
    <t>Adjuntos en Consentimiento y Recomendación</t>
  </si>
  <si>
    <t>Documento de tipo Consentimiento o Recomendación</t>
  </si>
  <si>
    <t>Adjuntar un archivo</t>
  </si>
  <si>
    <t>Se guarda igual que en una Ficha</t>
  </si>
  <si>
    <t>PF-252</t>
  </si>
  <si>
    <t>Menú renombrado sin contador</t>
  </si>
  <si>
    <t>Ver el menú lateral</t>
  </si>
  <si>
    <t>Dice "Documentos", sin badge numérico</t>
  </si>
  <si>
    <t>PF-253</t>
  </si>
  <si>
    <t>Redirección desde la ruta vieja</t>
  </si>
  <si>
    <t>Marcador o enlace a la ruta anterior</t>
  </si>
  <si>
    <t>Redirige a la ruta nueva sin error</t>
  </si>
  <si>
    <t>PF-254</t>
  </si>
  <si>
    <t>Cinco filtros resueltos en backend</t>
  </si>
  <si>
    <t>Listado con más resultados que una página</t>
  </si>
  <si>
    <t>Filtrar por tipo, búsqueda, fecha, estado y especialista, cada uno por separado</t>
  </si>
  <si>
    <t>Cada filtro devuelve resultados correctos consultando al backend, no filtrando solo lo cargado en pantalla</t>
  </si>
  <si>
    <t>PF-255</t>
  </si>
  <si>
    <t>Visor de PDF en modo solo lectura</t>
  </si>
  <si>
    <t>Documento de origen PDF, consulta (no firma)</t>
  </si>
  <si>
    <t>Abrirlo para consultar</t>
  </si>
  <si>
    <t>Se ve el documento, no se puede dibujar sobre él; el botón de pantalla completa sigue disponible</t>
  </si>
  <si>
    <t>PF-256</t>
  </si>
  <si>
    <t>El listado no mezcla filas de distinto tipo con el mismo id</t>
  </si>
  <si>
    <t>Ficha y Consentimiento con ids consecutivos</t>
  </si>
  <si>
    <t>Abrir ambas filas desde el listado</t>
  </si>
  <si>
    <t>Cada clic abre el documento correcto según su tipo</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</si>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</sst>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d/mm"/>
  </numFmts>
  <fonts count="8">
    <font>
      <sz val="11.0"/>
      <color theme="1"/>
      <name val="Calibri"/>
      <scheme val="minor"/>
    </font>
    <font>
      <b/>
      <sz val="14.0"/>
      <color rgb="FF0B192C"/>
      <name val="Arial"/>
    </font>
    <font>
      <b/>
      <sz val="10.0"/>
      <color rgb="FFFFFFFF"/>
      <name val="Arial"/>
    </font>
    <font>
      <sz val="10.0"/>
      <color theme="1"/>
      <name val="Arial"/>
    </font>
    <font>
      <b/>
      <sz val="10.0"/>
      <color theme="1"/>
      <name val="Arial"/>
    </font>
    <font>
      <sz val="11.0"/>
      <color theme="1"/>
      <name val="Arial"/>
    </font>
    <font>
      <sz val="11.0"/>
      <color theme="1"/>
      <name val="Calibri"/>
    </font>
    <font>
      <color theme="1"/>
      <name val="Calibri"/>
      <scheme val="minor"/>
    </font>
  </fonts>
  <fills count="8">
    <fill>
      <patternFill patternType="none"/>
    </fill>
    <fill>
      <patternFill patternType="lightGray"/>
    </fill>
    <fill>
      <patternFill patternType="solid">
        <fgColor rgb="FF0B192C"/>
        <bgColor rgb="FF0B192C"/>
      </patternFill>
    </fill>
    <fill>
      <patternFill patternType="solid">
        <fgColor rgb="FFF4F7FB"/>
        <bgColor rgb="FFF4F7FB"/>
      </patternFill>
    </fill>
    <fill>
      <patternFill patternType="solid">
        <fgColor rgb="FFE7EDF5"/>
        <bgColor rgb="FFE7EDF5"/>
      </patternFill>
    </fill>
    <fill>
      <patternFill patternType="solid">
        <fgColor rgb="FFFF0000"/>
        <bgColor rgb="FFFF0000"/>
      </patternFill>
    </fill>
    <fill>
      <patternFill patternType="solid">
        <fgColor rgb="FF999999"/>
        <bgColor rgb="FF999999"/>
      </patternFill>
    </fill>
    <fill>
      <patternFill patternType="solid">
        <fgColor rgb="FFD9D9D9"/>
        <bgColor rgb="FFD9D9D9"/>
      </patternFill>
    </fill>
  </fills>
  <borders count="3">
    <border/>
    <border>
      <left style="thin">
        <color rgb="FFC9D3E0"/>
      </left>
      <right style="thin">
        <color rgb="FFC9D3E0"/>
      </right>
      <top style="thin">
        <color rgb="FFC9D3E0"/>
      </top>
      <bottom style="thin">
        <color rgb="FFC9D3E0"/>
      </bottom>
    </border>
    <border>
      <left/>
      <right/>
      <top/>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top" wrapText="1"/>
    </xf>
    <xf borderId="1" fillId="2" fontId="2" numFmtId="0" xfId="0" applyAlignment="1" applyBorder="1" applyFill="1" applyFont="1">
      <alignment shrinkToFit="0" vertical="bottom" wrapText="0"/>
    </xf>
    <xf borderId="0" fillId="0" fontId="3" numFmtId="0" xfId="0" applyAlignment="1" applyFont="1">
      <alignment shrinkToFit="0" vertical="top" wrapText="1"/>
    </xf>
    <xf borderId="1" fillId="0" fontId="3" numFmtId="0" xfId="0" applyAlignment="1" applyBorder="1" applyFont="1">
      <alignment shrinkToFit="0" vertical="bottom" wrapText="0"/>
    </xf>
    <xf borderId="1" fillId="3" fontId="3" numFmtId="0" xfId="0" applyAlignment="1" applyBorder="1" applyFill="1" applyFont="1">
      <alignment shrinkToFit="0" vertical="top" wrapText="1"/>
    </xf>
    <xf borderId="2" fillId="4" fontId="4" numFmtId="0" xfId="0" applyAlignment="1" applyBorder="1" applyFill="1" applyFont="1">
      <alignment shrinkToFit="0" vertical="top" wrapText="1"/>
    </xf>
    <xf borderId="1" fillId="0" fontId="3" numFmtId="0" xfId="0" applyAlignment="1" applyBorder="1" applyFont="1">
      <alignment shrinkToFit="0" vertical="top" wrapText="1"/>
    </xf>
    <xf borderId="1" fillId="2" fontId="2" numFmtId="0" xfId="0" applyAlignment="1" applyBorder="1" applyFill="1" applyFont="1">
      <alignment shrinkToFit="0" vertical="center" wrapText="1"/>
    </xf>
    <xf borderId="1" fillId="0" fontId="4" numFmtId="0" xfId="0" applyAlignment="1" applyBorder="1" applyFont="1">
      <alignment shrinkToFit="0" vertical="bottom" wrapText="0"/>
    </xf>
    <xf borderId="1" fillId="3" fontId="3" numFmtId="0" xfId="0" applyAlignment="1" applyBorder="1" applyFill="1" applyFont="1">
      <alignment readingOrder="0" shrinkToFit="0" vertical="top" wrapText="1"/>
    </xf>
    <xf borderId="1" fillId="0" fontId="3" numFmtId="0" xfId="0" applyAlignment="1" applyBorder="1" applyFont="1">
      <alignment readingOrder="0" shrinkToFit="0" vertical="top" wrapText="1"/>
    </xf>
    <xf borderId="0" fillId="0" fontId="4" numFmtId="0" xfId="0" applyAlignment="1" applyFont="1">
      <alignment shrinkToFit="0" vertical="bottom" wrapText="0"/>
    </xf>
    <xf borderId="0" fillId="0" fontId="4" numFmtId="164" xfId="0" applyAlignment="1" applyFont="1" applyNumberFormat="1">
      <alignment shrinkToFit="0" vertical="bottom" wrapText="0"/>
    </xf>
    <xf borderId="0" fillId="0" fontId="3" numFmtId="0" xfId="0" applyAlignment="1" applyFont="1">
      <alignment shrinkToFit="0" vertical="bottom" wrapText="0"/>
    </xf>
    <xf borderId="0" fillId="0" fontId="5" numFmtId="0" xfId="0" applyAlignment="1" applyFont="1">
      <alignment shrinkToFit="0" vertical="bottom" wrapText="0"/>
    </xf>
    <xf borderId="0" fillId="0" fontId="5" numFmtId="165" xfId="0" applyAlignment="1" applyFont="1" applyNumberFormat="1">
      <alignment shrinkToFit="0" vertical="bottom" wrapText="0"/>
    </xf>
    <xf borderId="0" fillId="0" fontId="6" numFmtId="0" xfId="0" applyAlignment="1" applyFont="1">
      <alignment readingOrder="0" shrinkToFit="0" vertical="bottom" wrapText="0"/>
    </xf>
    <xf borderId="0" fillId="0" fontId="5" numFmtId="0" xfId="0" applyAlignment="1" applyFont="1">
      <alignment readingOrder="0" shrinkToFit="0" vertical="bottom" wrapText="0"/>
    </xf>
    <xf borderId="0" fillId="0" fontId="5" numFmtId="165" xfId="0" applyAlignment="1" applyFont="1" applyNumberFormat="1">
      <alignment readingOrder="0" shrinkToFit="0" vertical="bottom" wrapText="0"/>
    </xf>
    <xf borderId="0" fillId="5" fontId="5" numFmtId="0" xfId="0" applyAlignment="1" applyFill="1" applyFont="1">
      <alignment readingOrder="0" shrinkToFit="0" vertical="bottom" wrapText="0"/>
    </xf>
    <xf borderId="0" fillId="5" fontId="5" numFmtId="0" xfId="0" applyAlignment="1" applyFill="1" applyFont="1">
      <alignment shrinkToFit="0" vertical="bottom" wrapText="0"/>
    </xf>
    <xf borderId="0" fillId="5" fontId="5" numFmtId="165" xfId="0" applyAlignment="1" applyFill="1" applyFont="1" applyNumberFormat="1">
      <alignment readingOrder="0" shrinkToFit="0" vertical="bottom" wrapText="0"/>
    </xf>
    <xf borderId="0" fillId="5" fontId="7" numFmtId="0" xfId="0" applyFill="1" applyFont="1"/>
    <xf borderId="0" fillId="0" fontId="6" numFmtId="0" xfId="0" applyAlignment="1" applyFont="1">
      <alignment shrinkToFit="0" vertical="bottom" wrapText="0"/>
    </xf>
    <xf borderId="1" fillId="5" fontId="3" numFmtId="0" xfId="0" applyAlignment="1" applyBorder="1" applyFill="1" applyFont="1">
      <alignment shrinkToFit="0" vertical="top" wrapText="1"/>
    </xf>
    <xf borderId="1" fillId="5" fontId="3" numFmtId="0" xfId="0" applyAlignment="1" applyBorder="1" applyFill="1" applyFont="1">
      <alignment readingOrder="0" shrinkToFit="0" vertical="top" wrapText="1"/>
    </xf>
    <xf borderId="0" fillId="0" fontId="7" numFmtId="0" xfId="0" applyFont="1"/>
    <xf borderId="1" fillId="6" fontId="3" numFmtId="0" xfId="0" applyAlignment="1" applyBorder="1" applyFill="1" applyFont="1">
      <alignment shrinkToFit="0" vertical="top" wrapText="1"/>
    </xf>
    <xf borderId="1" fillId="6" fontId="3" numFmtId="0" xfId="0" applyAlignment="1" applyBorder="1" applyFill="1" applyFont="1">
      <alignment readingOrder="0" shrinkToFit="0" vertical="top" wrapText="1"/>
    </xf>
    <xf borderId="0" fillId="6" fontId="7" numFmtId="0" xfId="0" applyFill="1" applyFont="1"/>
    <xf borderId="1" fillId="7" fontId="3" numFmtId="0" xfId="0" applyAlignment="1" applyBorder="1" applyFill="1" applyFont="1">
      <alignment readingOrder="0" shrinkToFit="0" vertical="top"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38100</xdr:colOff>
      <xdr:row>222</xdr:row>
      <xdr:rowOff>171450</xdr:rowOff>
    </xdr:from>
    <xdr:ext cx="1400175" cy="18669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866775</xdr:colOff>
      <xdr:row>114</xdr:row>
      <xdr:rowOff>200025</xdr:rowOff>
    </xdr:from>
    <xdr:ext cx="1533525" cy="70485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1085850</xdr:colOff>
      <xdr:row>292</xdr:row>
      <xdr:rowOff>57150</xdr:rowOff>
    </xdr:from>
    <xdr:ext cx="6419850" cy="3667125"/>
    <xdr:pic>
      <xdr:nvPicPr>
        <xdr:cNvPr id="0" name="image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1371600</xdr:colOff>
      <xdr:row>261</xdr:row>
      <xdr:rowOff>190500</xdr:rowOff>
    </xdr:from>
    <xdr:ext cx="5372100" cy="561975"/>
    <xdr:pic>
      <xdr:nvPicPr>
        <xdr:cNvPr id="0" name="image3.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57150</xdr:colOff>
      <xdr:row>269</xdr:row>
      <xdr:rowOff>76200</xdr:rowOff>
    </xdr:from>
    <xdr:ext cx="3800475" cy="2752725"/>
    <xdr:pic>
      <xdr:nvPicPr>
        <xdr:cNvPr id="0" name="image2.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228600</xdr:colOff>
      <xdr:row>259</xdr:row>
      <xdr:rowOff>76200</xdr:rowOff>
    </xdr:from>
    <xdr:ext cx="9124950" cy="5124450"/>
    <xdr:pic>
      <xdr:nvPicPr>
        <xdr:cNvPr id="0" name="image4.png" title="Imagen"/>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20</xdr:row>
      <xdr:rowOff>200025</xdr:rowOff>
    </xdr:from>
    <xdr:ext cx="6696075" cy="866775"/>
    <xdr:pic>
      <xdr:nvPicPr>
        <xdr:cNvPr id="0" name="image7.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0"/>
    <col customWidth="1" min="2" max="6" width="8.71"/>
  </cols>
  <sheetData>
    <row r="1" ht="15.0" customHeight="1">
      <c r="A1" s="2" t="s">
        <v>1</v>
      </c>
    </row>
    <row r="2" ht="15.0" customHeight="1">
      <c r="A2" s="4"/>
    </row>
    <row r="3" ht="30.0" customHeight="1">
      <c r="A3" s="4" t="s">
        <v>9</v>
      </c>
    </row>
    <row r="4" ht="15.0" customHeight="1">
      <c r="A4" s="4"/>
    </row>
    <row r="5" ht="15.0" customHeight="1">
      <c r="A5" s="7" t="s">
        <v>13</v>
      </c>
    </row>
    <row r="6" ht="15.0" customHeight="1">
      <c r="A6" s="4" t="s">
        <v>16</v>
      </c>
    </row>
    <row r="7" ht="30.0" customHeight="1">
      <c r="A7" s="4" t="s">
        <v>18</v>
      </c>
    </row>
    <row r="8" ht="30.0" customHeight="1">
      <c r="A8" s="4" t="s">
        <v>21</v>
      </c>
    </row>
    <row r="9" ht="15.0" customHeight="1">
      <c r="A9" s="4" t="s">
        <v>23</v>
      </c>
    </row>
    <row r="10" ht="30.0" customHeight="1">
      <c r="A10" s="4" t="s">
        <v>25</v>
      </c>
    </row>
    <row r="11" ht="15.0" customHeight="1">
      <c r="A11" s="4"/>
    </row>
    <row r="12" ht="15.0" customHeight="1">
      <c r="A12" s="7" t="s">
        <v>31</v>
      </c>
    </row>
    <row r="13" ht="15.0" customHeight="1">
      <c r="A13" s="4" t="s">
        <v>35</v>
      </c>
    </row>
    <row r="14" ht="15.0" customHeight="1">
      <c r="A14" s="4" t="s">
        <v>38</v>
      </c>
    </row>
    <row r="15" ht="15.0" customHeight="1">
      <c r="A15" s="4" t="s">
        <v>40</v>
      </c>
    </row>
    <row r="16" ht="15.0" customHeight="1">
      <c r="A16" s="4"/>
    </row>
    <row r="17" ht="15.0" customHeight="1">
      <c r="A17" s="7" t="s">
        <v>47</v>
      </c>
    </row>
    <row r="18" ht="30.0" customHeight="1">
      <c r="A18" s="4" t="s">
        <v>49</v>
      </c>
    </row>
    <row r="19" ht="15.0" customHeight="1">
      <c r="A19" s="4" t="s">
        <v>55</v>
      </c>
    </row>
    <row r="20" ht="30.0" customHeight="1">
      <c r="A20" s="4" t="s">
        <v>58</v>
      </c>
    </row>
    <row r="21" ht="15.0" customHeight="1">
      <c r="A21" s="4" t="s">
        <v>63</v>
      </c>
    </row>
    <row r="22" ht="15.0" customHeight="1">
      <c r="A22" s="4"/>
    </row>
    <row r="23" ht="15.0" customHeight="1">
      <c r="A23" s="7" t="s">
        <v>75</v>
      </c>
    </row>
    <row r="24" ht="30.0" customHeight="1">
      <c r="A24" s="4" t="s">
        <v>79</v>
      </c>
    </row>
    <row r="25" ht="15.0" customHeight="1">
      <c r="A25" s="4"/>
    </row>
    <row r="26" ht="15.0" customHeight="1">
      <c r="A26" s="7" t="s">
        <v>84</v>
      </c>
    </row>
    <row r="27" ht="30.0" customHeight="1">
      <c r="A27" s="4" t="s">
        <v>86</v>
      </c>
    </row>
    <row r="28" ht="30.0" customHeight="1">
      <c r="A28" s="4" t="s">
        <v>89</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6.0"/>
    <col customWidth="1" min="3" max="3" width="18.0"/>
    <col customWidth="1" min="4" max="4" width="12.0"/>
    <col customWidth="1" min="5" max="6" width="8.71"/>
  </cols>
  <sheetData>
    <row r="1">
      <c r="A1" s="1" t="s">
        <v>0</v>
      </c>
    </row>
    <row r="3">
      <c r="A3" s="3" t="s">
        <v>2</v>
      </c>
      <c r="B3" s="3" t="s">
        <v>4</v>
      </c>
      <c r="C3" s="3" t="s">
        <v>6</v>
      </c>
      <c r="D3" s="3" t="s">
        <v>7</v>
      </c>
    </row>
    <row r="4">
      <c r="A4" s="5" t="s">
        <v>11</v>
      </c>
      <c r="B4" s="5">
        <f>COUNTA('Pruebas funcionales'!$K$2:$K$257)</f>
        <v>245</v>
      </c>
      <c r="C4" s="5">
        <f>COUNTA('Pruebas no funcionales'!$K$2:$K$68)</f>
        <v>67</v>
      </c>
      <c r="D4" s="10">
        <f t="shared" ref="D4:D12" si="1">B4+C4</f>
        <v>312</v>
      </c>
    </row>
    <row r="5">
      <c r="A5" s="5" t="s">
        <v>74</v>
      </c>
      <c r="B5" s="5">
        <f>COUNTIF('Pruebas funcionales'!$K$2:$K$257,"Pendiente")</f>
        <v>16</v>
      </c>
      <c r="C5" s="5">
        <f>COUNTIF('Pruebas no funcionales'!$K$2:$K$68,"Pendiente")</f>
        <v>67</v>
      </c>
      <c r="D5" s="10">
        <f t="shared" si="1"/>
        <v>83</v>
      </c>
    </row>
    <row r="6">
      <c r="A6" s="5" t="s">
        <v>99</v>
      </c>
      <c r="B6" s="5">
        <f>COUNTIF('Pruebas funcionales'!$K$2:$K$257,"Aprobado")</f>
        <v>207</v>
      </c>
      <c r="C6" s="5">
        <f>COUNTIF('Pruebas no funcionales'!$K$2:$K$68,"Aprobado")</f>
        <v>0</v>
      </c>
      <c r="D6" s="10">
        <f t="shared" si="1"/>
        <v>207</v>
      </c>
    </row>
    <row r="7">
      <c r="A7" s="5" t="s">
        <v>119</v>
      </c>
      <c r="B7" s="5">
        <f>COUNTIF('Pruebas funcionales'!$K$2:$K$257,"Fallido")</f>
        <v>11</v>
      </c>
      <c r="C7" s="5">
        <f>COUNTIF('Pruebas no funcionales'!$K$2:$K$68,"Fallido")</f>
        <v>0</v>
      </c>
      <c r="D7" s="10">
        <f t="shared" si="1"/>
        <v>11</v>
      </c>
    </row>
    <row r="8">
      <c r="A8" s="5" t="s">
        <v>141</v>
      </c>
      <c r="B8" s="5">
        <f>COUNTIF('Pruebas funcionales'!$K$2:$K$257,"Bloqueado")</f>
        <v>2</v>
      </c>
      <c r="C8" s="5">
        <f>COUNTIF('Pruebas no funcionales'!$K$2:$K$68,"Bloqueado")</f>
        <v>0</v>
      </c>
      <c r="D8" s="10">
        <f t="shared" si="1"/>
        <v>2</v>
      </c>
    </row>
    <row r="9">
      <c r="A9" s="5" t="s">
        <v>163</v>
      </c>
      <c r="B9" s="5">
        <f>COUNTIF('Pruebas funcionales'!$K$2:$K$257,"No aplica")</f>
        <v>9</v>
      </c>
      <c r="C9" s="5">
        <f>COUNTIF('Pruebas no funcionales'!$K$2:$K$68,"No aplica")</f>
        <v>0</v>
      </c>
      <c r="D9" s="10">
        <f t="shared" si="1"/>
        <v>9</v>
      </c>
    </row>
    <row r="10">
      <c r="A10" s="5" t="s">
        <v>176</v>
      </c>
      <c r="B10" s="5">
        <f>COUNTIFS('Pruebas funcionales'!$I$2:$I$257,"Bloqueante",'Pruebas funcionales'!$K$2:$K$257,"Fallido")</f>
        <v>0</v>
      </c>
      <c r="C10" s="5">
        <f>COUNTIFS('Pruebas no funcionales'!$I$2:$I$68,"Bloqueante",'Pruebas no funcionales'!$K$2:$K$68,"Fallido")</f>
        <v>0</v>
      </c>
      <c r="D10" s="10">
        <f t="shared" si="1"/>
        <v>0</v>
      </c>
    </row>
    <row r="11">
      <c r="A11" s="5" t="s">
        <v>189</v>
      </c>
      <c r="B11" s="5">
        <f>COUNTIFS('Pruebas funcionales'!$I$2:$I$257,"Crítico",'Pruebas funcionales'!$K$2:$K$257,"Fallido")</f>
        <v>7</v>
      </c>
      <c r="C11" s="5">
        <f>COUNTIFS('Pruebas no funcionales'!$I$2:$I$68,"Crítico",'Pruebas no funcionales'!$K$2:$K$68,"Fallido")</f>
        <v>0</v>
      </c>
      <c r="D11" s="10">
        <f t="shared" si="1"/>
        <v>7</v>
      </c>
    </row>
    <row r="12">
      <c r="A12" s="5" t="s">
        <v>198</v>
      </c>
      <c r="B12" s="5">
        <f>COUNTIFS('Pruebas funcionales'!$I$2:$I$257,"Mayor",'Pruebas funcionales'!$K$2:$K$257,"Fallido")</f>
        <v>4</v>
      </c>
      <c r="C12" s="5">
        <f>COUNTIFS('Pruebas no funcionales'!$I$2:$I$68,"Mayor",'Pruebas no funcionales'!$K$2:$K$68,"Fallido")</f>
        <v>0</v>
      </c>
      <c r="D12" s="10">
        <f t="shared" si="1"/>
        <v>4</v>
      </c>
    </row>
    <row r="14">
      <c r="A14" s="13" t="s">
        <v>206</v>
      </c>
      <c r="B14" s="14">
        <f>IF($D$4=0,0,($D$4-$D$5)/$D$4)</f>
        <v>0.733974359</v>
      </c>
    </row>
    <row r="16">
      <c r="A16" s="13" t="s">
        <v>207</v>
      </c>
      <c r="B16" s="13" t="str">
        <f>IF(AND($D$5=0,$D$10=0,$D$11=0),"APROBADO — listo para producción","NO APROBADO")</f>
        <v>NO APROBADO</v>
      </c>
    </row>
    <row r="17">
      <c r="A17" s="15" t="s">
        <v>208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2.0"/>
    <col customWidth="1" min="3" max="3" width="74.0"/>
    <col customWidth="1" min="4" max="6" width="8.71"/>
  </cols>
  <sheetData>
    <row r="1">
      <c r="A1" s="1" t="s">
        <v>3</v>
      </c>
    </row>
    <row r="3">
      <c r="A3" s="3" t="s">
        <v>5</v>
      </c>
      <c r="B3" s="3" t="s">
        <v>8</v>
      </c>
      <c r="C3" s="3" t="s">
        <v>10</v>
      </c>
    </row>
    <row r="4">
      <c r="A4" s="6" t="s">
        <v>12</v>
      </c>
      <c r="B4" s="6" t="s">
        <v>14</v>
      </c>
      <c r="C4" s="6" t="s">
        <v>15</v>
      </c>
    </row>
    <row r="5">
      <c r="A5" s="8" t="s">
        <v>12</v>
      </c>
      <c r="B5" s="8" t="s">
        <v>17</v>
      </c>
      <c r="C5" s="8" t="s">
        <v>19</v>
      </c>
    </row>
    <row r="6">
      <c r="A6" s="6" t="s">
        <v>12</v>
      </c>
      <c r="B6" s="6" t="s">
        <v>22</v>
      </c>
      <c r="C6" s="6" t="s">
        <v>15</v>
      </c>
    </row>
    <row r="7">
      <c r="A7" s="8" t="s">
        <v>12</v>
      </c>
      <c r="B7" s="8" t="s">
        <v>24</v>
      </c>
      <c r="C7" s="8" t="s">
        <v>27</v>
      </c>
    </row>
    <row r="8">
      <c r="A8" s="6" t="s">
        <v>12</v>
      </c>
      <c r="B8" s="6" t="s">
        <v>30</v>
      </c>
      <c r="C8" s="6" t="s">
        <v>15</v>
      </c>
    </row>
    <row r="9">
      <c r="A9" s="8" t="s">
        <v>12</v>
      </c>
      <c r="B9" s="8" t="s">
        <v>34</v>
      </c>
      <c r="C9" s="8" t="s">
        <v>37</v>
      </c>
    </row>
    <row r="10">
      <c r="A10" s="6" t="s">
        <v>12</v>
      </c>
      <c r="B10" s="6" t="s">
        <v>39</v>
      </c>
      <c r="C10" s="6" t="s">
        <v>41</v>
      </c>
    </row>
    <row r="11">
      <c r="A11" s="8" t="s">
        <v>43</v>
      </c>
      <c r="B11" s="8" t="s">
        <v>45</v>
      </c>
      <c r="C11" s="8" t="s">
        <v>46</v>
      </c>
    </row>
    <row r="12">
      <c r="A12" s="6" t="s">
        <v>43</v>
      </c>
      <c r="B12" s="6" t="s">
        <v>51</v>
      </c>
      <c r="C12" s="6" t="s">
        <v>53</v>
      </c>
    </row>
    <row r="13">
      <c r="A13" s="8" t="s">
        <v>43</v>
      </c>
      <c r="B13" s="8" t="s">
        <v>56</v>
      </c>
      <c r="C13" s="8" t="s">
        <v>61</v>
      </c>
    </row>
    <row r="14">
      <c r="A14" s="6" t="s">
        <v>65</v>
      </c>
      <c r="B14" s="6" t="s">
        <v>66</v>
      </c>
      <c r="C14" s="6" t="s">
        <v>68</v>
      </c>
    </row>
    <row r="15">
      <c r="A15" s="8" t="s">
        <v>65</v>
      </c>
      <c r="B15" s="8" t="s">
        <v>72</v>
      </c>
      <c r="C15" s="8" t="s">
        <v>76</v>
      </c>
    </row>
    <row r="16">
      <c r="A16" s="6" t="s">
        <v>77</v>
      </c>
      <c r="B16" s="6" t="s">
        <v>78</v>
      </c>
      <c r="C16" s="6" t="s">
        <v>80</v>
      </c>
    </row>
    <row r="17">
      <c r="A17" s="8" t="s">
        <v>77</v>
      </c>
      <c r="B17" s="8" t="s">
        <v>82</v>
      </c>
      <c r="C17" s="8" t="s">
        <v>83</v>
      </c>
    </row>
    <row r="18">
      <c r="A18" s="6" t="s">
        <v>77</v>
      </c>
      <c r="B18" s="6" t="s">
        <v>85</v>
      </c>
      <c r="C18" s="6" t="s">
        <v>87</v>
      </c>
    </row>
    <row r="19">
      <c r="A19" s="8" t="s">
        <v>77</v>
      </c>
      <c r="B19" s="8" t="s">
        <v>90</v>
      </c>
      <c r="C19" s="8" t="s">
        <v>91</v>
      </c>
    </row>
    <row r="20">
      <c r="A20" s="6" t="s">
        <v>93</v>
      </c>
      <c r="B20" s="6" t="s">
        <v>94</v>
      </c>
      <c r="C20" s="6" t="s">
        <v>95</v>
      </c>
    </row>
    <row r="21" ht="15.75" customHeight="1">
      <c r="A21" s="8" t="s">
        <v>93</v>
      </c>
      <c r="B21" s="8" t="s">
        <v>98</v>
      </c>
      <c r="C21" s="8" t="s">
        <v>100</v>
      </c>
    </row>
    <row r="22" ht="15.75" customHeight="1">
      <c r="A22" s="6" t="s">
        <v>104</v>
      </c>
      <c r="B22" s="6" t="s">
        <v>106</v>
      </c>
      <c r="C22" s="6" t="s">
        <v>107</v>
      </c>
    </row>
    <row r="23" ht="15.75" customHeight="1">
      <c r="A23" s="8" t="s">
        <v>104</v>
      </c>
      <c r="B23" s="8" t="s">
        <v>108</v>
      </c>
      <c r="C23" s="8" t="s">
        <v>109</v>
      </c>
    </row>
    <row r="24" ht="15.75" customHeight="1">
      <c r="A24" s="6" t="s">
        <v>110</v>
      </c>
      <c r="B24" s="6" t="s">
        <v>111</v>
      </c>
      <c r="C24" s="6" t="s">
        <v>112</v>
      </c>
    </row>
    <row r="25" ht="15.75" customHeight="1">
      <c r="A25" s="8" t="s">
        <v>110</v>
      </c>
      <c r="B25" s="8" t="s">
        <v>114</v>
      </c>
      <c r="C25" s="8" t="s">
        <v>116</v>
      </c>
    </row>
    <row r="26" ht="15.75" customHeight="1">
      <c r="A26" s="6" t="s">
        <v>118</v>
      </c>
      <c r="B26" s="6" t="s">
        <v>120</v>
      </c>
      <c r="C26" s="6" t="s">
        <v>122</v>
      </c>
    </row>
    <row r="27" ht="15.75" customHeight="1">
      <c r="A27" s="8" t="s">
        <v>124</v>
      </c>
      <c r="B27" s="8" t="s">
        <v>125</v>
      </c>
      <c r="C27" s="8" t="s">
        <v>126</v>
      </c>
    </row>
    <row r="28" ht="15.75" customHeight="1">
      <c r="A28" s="6" t="s">
        <v>124</v>
      </c>
      <c r="B28" s="6" t="s">
        <v>128</v>
      </c>
      <c r="C28" s="6" t="s">
        <v>129</v>
      </c>
    </row>
    <row r="29" ht="15.75" customHeight="1">
      <c r="A29" s="8" t="s">
        <v>131</v>
      </c>
      <c r="B29" s="8" t="s">
        <v>132</v>
      </c>
      <c r="C29" s="8" t="s">
        <v>133</v>
      </c>
    </row>
    <row r="30" ht="15.75" customHeight="1">
      <c r="A30" s="6" t="s">
        <v>131</v>
      </c>
      <c r="B30" s="6" t="s">
        <v>134</v>
      </c>
      <c r="C30" s="6" t="s">
        <v>135</v>
      </c>
    </row>
    <row r="31" ht="15.75" customHeight="1">
      <c r="A31" s="8" t="s">
        <v>131</v>
      </c>
      <c r="B31" s="8" t="s">
        <v>137</v>
      </c>
      <c r="C31" s="8" t="s">
        <v>138</v>
      </c>
    </row>
    <row r="32" ht="15.75" customHeight="1">
      <c r="A32" s="6" t="s">
        <v>131</v>
      </c>
      <c r="B32" s="6" t="s">
        <v>142</v>
      </c>
      <c r="C32" s="6" t="s">
        <v>144</v>
      </c>
    </row>
    <row r="33" ht="15.75" customHeight="1">
      <c r="A33" s="8" t="s">
        <v>146</v>
      </c>
      <c r="B33" s="8" t="s">
        <v>147</v>
      </c>
      <c r="C33" s="8" t="s">
        <v>148</v>
      </c>
    </row>
    <row r="34" ht="15.75" customHeight="1">
      <c r="A34" s="6" t="s">
        <v>146</v>
      </c>
      <c r="B34" s="6" t="s">
        <v>149</v>
      </c>
      <c r="C34" s="6" t="s">
        <v>150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9.0"/>
    <col customWidth="1" min="2" max="2" width="11.0"/>
    <col customWidth="1" min="3" max="3" width="13.14"/>
    <col customWidth="1" min="4" max="4" width="34.0"/>
    <col customWidth="1" min="5" max="5" width="28.0"/>
    <col customWidth="1" min="6" max="6" width="44.0"/>
    <col customWidth="1" min="7" max="7" width="20.0"/>
    <col customWidth="1" min="8" max="8" width="44.0"/>
    <col customWidth="1" min="9" max="9" width="15.0"/>
    <col customWidth="1" min="10" max="11" width="13.0"/>
    <col customWidth="1" min="12" max="12" width="22.0"/>
    <col customWidth="1" min="13" max="13" width="28.0"/>
  </cols>
  <sheetData>
    <row r="1">
      <c r="A1" s="9" t="s">
        <v>20</v>
      </c>
      <c r="B1" s="9" t="s">
        <v>26</v>
      </c>
      <c r="C1" s="9" t="s">
        <v>28</v>
      </c>
      <c r="D1" s="9" t="s">
        <v>29</v>
      </c>
      <c r="E1" s="9" t="s">
        <v>32</v>
      </c>
      <c r="F1" s="9" t="s">
        <v>33</v>
      </c>
      <c r="G1" s="9" t="s">
        <v>36</v>
      </c>
      <c r="H1" s="9" t="s">
        <v>42</v>
      </c>
      <c r="I1" s="9" t="s">
        <v>44</v>
      </c>
      <c r="J1" s="9" t="s">
        <v>48</v>
      </c>
      <c r="K1" s="9" t="s">
        <v>50</v>
      </c>
      <c r="L1" s="9" t="s">
        <v>52</v>
      </c>
      <c r="M1" s="9" t="s">
        <v>54</v>
      </c>
    </row>
    <row r="2" hidden="1">
      <c r="A2" s="6" t="s">
        <v>57</v>
      </c>
      <c r="B2" s="6" t="s">
        <v>59</v>
      </c>
      <c r="C2" s="6" t="s">
        <v>60</v>
      </c>
      <c r="D2" s="6" t="s">
        <v>62</v>
      </c>
      <c r="E2" s="6" t="s">
        <v>64</v>
      </c>
      <c r="F2" s="6" t="s">
        <v>67</v>
      </c>
      <c r="G2" s="6" t="s">
        <v>69</v>
      </c>
      <c r="H2" s="6" t="s">
        <v>70</v>
      </c>
      <c r="I2" s="6" t="s">
        <v>71</v>
      </c>
      <c r="J2" s="6" t="s">
        <v>73</v>
      </c>
      <c r="K2" s="11" t="s">
        <v>81</v>
      </c>
      <c r="L2" s="6"/>
      <c r="M2" s="6" t="s">
        <v>88</v>
      </c>
    </row>
    <row r="3" hidden="1">
      <c r="A3" s="8" t="s">
        <v>92</v>
      </c>
      <c r="B3" s="8" t="s">
        <v>59</v>
      </c>
      <c r="C3" s="8" t="s">
        <v>60</v>
      </c>
      <c r="D3" s="8" t="s">
        <v>96</v>
      </c>
      <c r="E3" s="8" t="s">
        <v>97</v>
      </c>
      <c r="F3" s="8" t="s">
        <v>101</v>
      </c>
      <c r="G3" s="8" t="s">
        <v>102</v>
      </c>
      <c r="H3" s="8" t="s">
        <v>103</v>
      </c>
      <c r="I3" s="8" t="s">
        <v>105</v>
      </c>
      <c r="J3" s="8" t="s">
        <v>73</v>
      </c>
      <c r="K3" s="12" t="s">
        <v>81</v>
      </c>
      <c r="L3" s="8"/>
      <c r="M3" s="8" t="s">
        <v>113</v>
      </c>
    </row>
    <row r="4" hidden="1">
      <c r="A4" s="6" t="s">
        <v>115</v>
      </c>
      <c r="B4" s="6" t="s">
        <v>59</v>
      </c>
      <c r="C4" s="6" t="s">
        <v>60</v>
      </c>
      <c r="D4" s="6" t="s">
        <v>117</v>
      </c>
      <c r="E4" s="6" t="s">
        <v>121</v>
      </c>
      <c r="F4" s="6" t="s">
        <v>123</v>
      </c>
      <c r="G4" s="6" t="s">
        <v>127</v>
      </c>
      <c r="H4" s="6" t="s">
        <v>130</v>
      </c>
      <c r="I4" s="6" t="s">
        <v>105</v>
      </c>
      <c r="J4" s="6" t="s">
        <v>73</v>
      </c>
      <c r="K4" s="11" t="s">
        <v>81</v>
      </c>
      <c r="L4" s="6"/>
      <c r="M4" s="6"/>
    </row>
    <row r="5" hidden="1">
      <c r="A5" s="8" t="s">
        <v>136</v>
      </c>
      <c r="B5" s="8" t="s">
        <v>59</v>
      </c>
      <c r="C5" s="8" t="s">
        <v>60</v>
      </c>
      <c r="D5" s="8" t="s">
        <v>139</v>
      </c>
      <c r="E5" s="8" t="s">
        <v>140</v>
      </c>
      <c r="F5" s="8" t="s">
        <v>143</v>
      </c>
      <c r="G5" s="8" t="s">
        <v>102</v>
      </c>
      <c r="H5" s="8" t="s">
        <v>145</v>
      </c>
      <c r="I5" s="8" t="s">
        <v>105</v>
      </c>
      <c r="J5" s="8" t="s">
        <v>73</v>
      </c>
      <c r="K5" s="12" t="s">
        <v>81</v>
      </c>
      <c r="L5" s="8"/>
      <c r="M5" s="8"/>
    </row>
    <row r="6" hidden="1">
      <c r="A6" s="6" t="s">
        <v>151</v>
      </c>
      <c r="B6" s="6" t="s">
        <v>59</v>
      </c>
      <c r="C6" s="6" t="s">
        <v>60</v>
      </c>
      <c r="D6" s="6" t="s">
        <v>152</v>
      </c>
      <c r="E6" s="6" t="s">
        <v>153</v>
      </c>
      <c r="F6" s="6" t="s">
        <v>154</v>
      </c>
      <c r="G6" s="6" t="s">
        <v>102</v>
      </c>
      <c r="H6" s="6" t="s">
        <v>155</v>
      </c>
      <c r="I6" s="6" t="s">
        <v>71</v>
      </c>
      <c r="J6" s="6" t="s">
        <v>73</v>
      </c>
      <c r="K6" s="11" t="s">
        <v>81</v>
      </c>
      <c r="L6" s="6"/>
      <c r="M6" s="6"/>
    </row>
    <row r="7" hidden="1">
      <c r="A7" s="8" t="s">
        <v>156</v>
      </c>
      <c r="B7" s="8" t="s">
        <v>59</v>
      </c>
      <c r="C7" s="8" t="s">
        <v>60</v>
      </c>
      <c r="D7" s="8" t="s">
        <v>157</v>
      </c>
      <c r="E7" s="8" t="s">
        <v>158</v>
      </c>
      <c r="F7" s="8" t="s">
        <v>159</v>
      </c>
      <c r="G7" s="8" t="s">
        <v>160</v>
      </c>
      <c r="H7" s="8" t="s">
        <v>161</v>
      </c>
      <c r="I7" s="8" t="s">
        <v>71</v>
      </c>
      <c r="J7" s="8" t="s">
        <v>73</v>
      </c>
      <c r="K7" s="12" t="s">
        <v>81</v>
      </c>
      <c r="L7" s="8"/>
      <c r="M7" s="8"/>
    </row>
    <row r="8">
      <c r="A8" s="6" t="s">
        <v>162</v>
      </c>
      <c r="B8" s="6" t="s">
        <v>59</v>
      </c>
      <c r="C8" s="6" t="s">
        <v>60</v>
      </c>
      <c r="D8" s="6" t="s">
        <v>164</v>
      </c>
      <c r="E8" s="6" t="s">
        <v>102</v>
      </c>
      <c r="F8" s="6" t="s">
        <v>165</v>
      </c>
      <c r="G8" s="6" t="s">
        <v>166</v>
      </c>
      <c r="H8" s="6" t="s">
        <v>167</v>
      </c>
      <c r="I8" s="6" t="s">
        <v>168</v>
      </c>
      <c r="J8" s="6" t="s">
        <v>169</v>
      </c>
      <c r="K8" s="6" t="s">
        <v>170</v>
      </c>
      <c r="L8" s="6"/>
      <c r="M8" s="6"/>
    </row>
    <row r="9">
      <c r="A9" s="8" t="s">
        <v>171</v>
      </c>
      <c r="B9" s="8" t="s">
        <v>59</v>
      </c>
      <c r="C9" s="8" t="s">
        <v>60</v>
      </c>
      <c r="D9" s="8" t="s">
        <v>172</v>
      </c>
      <c r="E9" s="8" t="s">
        <v>173</v>
      </c>
      <c r="F9" s="8" t="s">
        <v>174</v>
      </c>
      <c r="G9" s="8" t="s">
        <v>102</v>
      </c>
      <c r="H9" s="8" t="s">
        <v>175</v>
      </c>
      <c r="I9" s="8" t="s">
        <v>105</v>
      </c>
      <c r="J9" s="8" t="s">
        <v>169</v>
      </c>
      <c r="K9" s="8" t="s">
        <v>170</v>
      </c>
      <c r="L9" s="8"/>
      <c r="M9" s="8"/>
    </row>
    <row r="10" hidden="1">
      <c r="A10" s="6" t="s">
        <v>177</v>
      </c>
      <c r="B10" s="6" t="s">
        <v>59</v>
      </c>
      <c r="C10" s="6" t="s">
        <v>60</v>
      </c>
      <c r="D10" s="6" t="s">
        <v>178</v>
      </c>
      <c r="E10" s="6" t="s">
        <v>179</v>
      </c>
      <c r="F10" s="6" t="s">
        <v>180</v>
      </c>
      <c r="G10" s="6" t="s">
        <v>102</v>
      </c>
      <c r="H10" s="6" t="s">
        <v>181</v>
      </c>
      <c r="I10" s="6" t="s">
        <v>105</v>
      </c>
      <c r="J10" s="6" t="s">
        <v>73</v>
      </c>
      <c r="K10" s="11" t="s">
        <v>81</v>
      </c>
      <c r="L10" s="6"/>
      <c r="M10" s="6"/>
    </row>
    <row r="11" hidden="1">
      <c r="A11" s="8" t="s">
        <v>182</v>
      </c>
      <c r="B11" s="8" t="s">
        <v>183</v>
      </c>
      <c r="C11" s="8" t="s">
        <v>184</v>
      </c>
      <c r="D11" s="8" t="s">
        <v>185</v>
      </c>
      <c r="E11" s="8" t="s">
        <v>186</v>
      </c>
      <c r="F11" s="8" t="s">
        <v>187</v>
      </c>
      <c r="G11" s="8" t="s">
        <v>102</v>
      </c>
      <c r="H11" s="8" t="s">
        <v>188</v>
      </c>
      <c r="I11" s="8" t="s">
        <v>71</v>
      </c>
      <c r="J11" s="8" t="s">
        <v>73</v>
      </c>
      <c r="K11" s="8" t="s">
        <v>81</v>
      </c>
      <c r="L11" s="8"/>
      <c r="M11" s="8"/>
    </row>
    <row r="12" hidden="1">
      <c r="A12" s="6" t="s">
        <v>190</v>
      </c>
      <c r="B12" s="6" t="s">
        <v>183</v>
      </c>
      <c r="C12" s="6" t="s">
        <v>184</v>
      </c>
      <c r="D12" s="6" t="s">
        <v>191</v>
      </c>
      <c r="E12" s="6" t="s">
        <v>192</v>
      </c>
      <c r="F12" s="6" t="s">
        <v>193</v>
      </c>
      <c r="G12" s="6" t="s">
        <v>102</v>
      </c>
      <c r="H12" s="6" t="s">
        <v>194</v>
      </c>
      <c r="I12" s="6" t="s">
        <v>71</v>
      </c>
      <c r="J12" s="6" t="s">
        <v>73</v>
      </c>
      <c r="K12" s="6" t="s">
        <v>81</v>
      </c>
      <c r="L12" s="6"/>
      <c r="M12" s="6"/>
    </row>
    <row r="13" hidden="1">
      <c r="A13" s="8" t="s">
        <v>195</v>
      </c>
      <c r="B13" s="8" t="s">
        <v>183</v>
      </c>
      <c r="C13" s="8" t="s">
        <v>184</v>
      </c>
      <c r="D13" s="8" t="s">
        <v>196</v>
      </c>
      <c r="E13" s="8" t="s">
        <v>197</v>
      </c>
      <c r="F13" s="8" t="s">
        <v>193</v>
      </c>
      <c r="G13" s="8" t="s">
        <v>199</v>
      </c>
      <c r="H13" s="8" t="s">
        <v>200</v>
      </c>
      <c r="I13" s="8" t="s">
        <v>105</v>
      </c>
      <c r="J13" s="8" t="s">
        <v>73</v>
      </c>
      <c r="K13" s="8" t="s">
        <v>81</v>
      </c>
      <c r="L13" s="8"/>
      <c r="M13" s="8"/>
    </row>
    <row r="14" hidden="1">
      <c r="A14" s="6" t="s">
        <v>201</v>
      </c>
      <c r="B14" s="6" t="s">
        <v>183</v>
      </c>
      <c r="C14" s="6" t="s">
        <v>184</v>
      </c>
      <c r="D14" s="6" t="s">
        <v>202</v>
      </c>
      <c r="E14" s="6" t="s">
        <v>203</v>
      </c>
      <c r="F14" s="6" t="s">
        <v>204</v>
      </c>
      <c r="G14" s="6" t="s">
        <v>34</v>
      </c>
      <c r="H14" s="6" t="s">
        <v>205</v>
      </c>
      <c r="I14" s="6" t="s">
        <v>105</v>
      </c>
      <c r="J14" s="6" t="s">
        <v>73</v>
      </c>
      <c r="K14" s="6" t="s">
        <v>81</v>
      </c>
      <c r="L14" s="6"/>
      <c r="M14" s="6"/>
    </row>
    <row r="15" hidden="1">
      <c r="A15" s="8" t="s">
        <v>307</v>
      </c>
      <c r="B15" s="8" t="s">
        <v>183</v>
      </c>
      <c r="C15" s="8" t="s">
        <v>184</v>
      </c>
      <c r="D15" s="8" t="s">
        <v>311</v>
      </c>
      <c r="E15" s="8" t="s">
        <v>312</v>
      </c>
      <c r="F15" s="8" t="s">
        <v>314</v>
      </c>
      <c r="G15" s="8" t="s">
        <v>102</v>
      </c>
      <c r="H15" s="8" t="s">
        <v>317</v>
      </c>
      <c r="I15" s="8" t="s">
        <v>71</v>
      </c>
      <c r="J15" s="8" t="s">
        <v>73</v>
      </c>
      <c r="K15" s="8" t="s">
        <v>81</v>
      </c>
      <c r="L15" s="8"/>
      <c r="M15" s="8"/>
    </row>
    <row r="16" hidden="1">
      <c r="A16" s="6" t="s">
        <v>321</v>
      </c>
      <c r="B16" s="6" t="s">
        <v>183</v>
      </c>
      <c r="C16" s="6" t="s">
        <v>184</v>
      </c>
      <c r="D16" s="6" t="s">
        <v>324</v>
      </c>
      <c r="E16" s="6" t="s">
        <v>312</v>
      </c>
      <c r="F16" s="6" t="s">
        <v>326</v>
      </c>
      <c r="G16" s="6" t="s">
        <v>102</v>
      </c>
      <c r="H16" s="6" t="s">
        <v>329</v>
      </c>
      <c r="I16" s="6" t="s">
        <v>71</v>
      </c>
      <c r="J16" s="6" t="s">
        <v>73</v>
      </c>
      <c r="K16" s="6" t="s">
        <v>81</v>
      </c>
      <c r="L16" s="6"/>
      <c r="M16" s="6" t="s">
        <v>332</v>
      </c>
    </row>
    <row r="17" hidden="1">
      <c r="A17" s="8" t="s">
        <v>333</v>
      </c>
      <c r="B17" s="8" t="s">
        <v>183</v>
      </c>
      <c r="C17" s="8" t="s">
        <v>184</v>
      </c>
      <c r="D17" s="8" t="s">
        <v>334</v>
      </c>
      <c r="E17" s="8" t="s">
        <v>336</v>
      </c>
      <c r="F17" s="8" t="s">
        <v>339</v>
      </c>
      <c r="G17" s="8" t="s">
        <v>14</v>
      </c>
      <c r="H17" s="8" t="s">
        <v>342</v>
      </c>
      <c r="I17" s="8" t="s">
        <v>71</v>
      </c>
      <c r="J17" s="8" t="s">
        <v>73</v>
      </c>
      <c r="K17" s="8" t="s">
        <v>81</v>
      </c>
      <c r="L17" s="8"/>
      <c r="M17" s="8" t="s">
        <v>347</v>
      </c>
    </row>
    <row r="18" hidden="1">
      <c r="A18" s="6" t="s">
        <v>349</v>
      </c>
      <c r="B18" s="6" t="s">
        <v>183</v>
      </c>
      <c r="C18" s="6" t="s">
        <v>184</v>
      </c>
      <c r="D18" s="6" t="s">
        <v>352</v>
      </c>
      <c r="E18" s="6" t="s">
        <v>353</v>
      </c>
      <c r="F18" s="6" t="s">
        <v>355</v>
      </c>
      <c r="G18" s="6" t="s">
        <v>357</v>
      </c>
      <c r="H18" s="6" t="s">
        <v>358</v>
      </c>
      <c r="I18" s="6" t="s">
        <v>105</v>
      </c>
      <c r="J18" s="6" t="s">
        <v>73</v>
      </c>
      <c r="K18" s="6" t="s">
        <v>81</v>
      </c>
      <c r="L18" s="6"/>
      <c r="M18" s="6"/>
    </row>
    <row r="19" hidden="1">
      <c r="A19" s="8" t="s">
        <v>364</v>
      </c>
      <c r="B19" s="8" t="s">
        <v>183</v>
      </c>
      <c r="C19" s="8" t="s">
        <v>184</v>
      </c>
      <c r="D19" s="8" t="s">
        <v>366</v>
      </c>
      <c r="E19" s="8" t="s">
        <v>368</v>
      </c>
      <c r="F19" s="8" t="s">
        <v>370</v>
      </c>
      <c r="G19" s="8" t="s">
        <v>371</v>
      </c>
      <c r="H19" s="8" t="s">
        <v>373</v>
      </c>
      <c r="I19" s="8" t="s">
        <v>105</v>
      </c>
      <c r="J19" s="8" t="s">
        <v>73</v>
      </c>
      <c r="K19" s="8" t="s">
        <v>81</v>
      </c>
      <c r="L19" s="8"/>
      <c r="M19" s="8"/>
    </row>
    <row r="20" hidden="1">
      <c r="A20" s="6" t="s">
        <v>377</v>
      </c>
      <c r="B20" s="6" t="s">
        <v>183</v>
      </c>
      <c r="C20" s="6" t="s">
        <v>184</v>
      </c>
      <c r="D20" s="6" t="s">
        <v>378</v>
      </c>
      <c r="E20" s="6" t="s">
        <v>380</v>
      </c>
      <c r="F20" s="6" t="s">
        <v>381</v>
      </c>
      <c r="G20" s="6" t="s">
        <v>102</v>
      </c>
      <c r="H20" s="6" t="s">
        <v>383</v>
      </c>
      <c r="I20" s="6" t="s">
        <v>105</v>
      </c>
      <c r="J20" s="6" t="s">
        <v>73</v>
      </c>
      <c r="K20" s="6" t="s">
        <v>81</v>
      </c>
      <c r="L20" s="6"/>
      <c r="M20" s="6"/>
    </row>
    <row r="21" ht="15.75" hidden="1" customHeight="1">
      <c r="A21" s="8" t="s">
        <v>322</v>
      </c>
      <c r="B21" s="8" t="s">
        <v>183</v>
      </c>
      <c r="C21" s="8" t="s">
        <v>184</v>
      </c>
      <c r="D21" s="8" t="s">
        <v>394</v>
      </c>
      <c r="E21" s="8" t="s">
        <v>397</v>
      </c>
      <c r="F21" s="8" t="s">
        <v>399</v>
      </c>
      <c r="G21" s="8" t="s">
        <v>400</v>
      </c>
      <c r="H21" s="8" t="s">
        <v>401</v>
      </c>
      <c r="I21" s="8" t="s">
        <v>105</v>
      </c>
      <c r="J21" s="8" t="s">
        <v>73</v>
      </c>
      <c r="K21" s="12" t="s">
        <v>81</v>
      </c>
      <c r="L21" s="8"/>
      <c r="M21" s="8"/>
    </row>
    <row r="22" ht="15.75" hidden="1" customHeight="1">
      <c r="A22" s="6" t="s">
        <v>407</v>
      </c>
      <c r="B22" s="6" t="s">
        <v>183</v>
      </c>
      <c r="C22" s="6" t="s">
        <v>184</v>
      </c>
      <c r="D22" s="6" t="s">
        <v>409</v>
      </c>
      <c r="E22" s="6" t="s">
        <v>410</v>
      </c>
      <c r="F22" s="6" t="s">
        <v>411</v>
      </c>
      <c r="G22" s="6" t="s">
        <v>102</v>
      </c>
      <c r="H22" s="6" t="s">
        <v>413</v>
      </c>
      <c r="I22" s="6" t="s">
        <v>105</v>
      </c>
      <c r="J22" s="6" t="s">
        <v>73</v>
      </c>
      <c r="K22" s="11" t="s">
        <v>81</v>
      </c>
      <c r="L22" s="6"/>
      <c r="M22" s="6"/>
    </row>
    <row r="23" ht="15.75" hidden="1" customHeight="1">
      <c r="A23" s="8" t="s">
        <v>420</v>
      </c>
      <c r="B23" s="8" t="s">
        <v>183</v>
      </c>
      <c r="C23" s="8" t="s">
        <v>184</v>
      </c>
      <c r="D23" s="8" t="s">
        <v>422</v>
      </c>
      <c r="E23" s="8" t="s">
        <v>424</v>
      </c>
      <c r="F23" s="8" t="s">
        <v>426</v>
      </c>
      <c r="G23" s="8" t="s">
        <v>102</v>
      </c>
      <c r="H23" s="8" t="s">
        <v>429</v>
      </c>
      <c r="I23" s="8" t="s">
        <v>71</v>
      </c>
      <c r="J23" s="8" t="s">
        <v>73</v>
      </c>
      <c r="K23" s="12" t="s">
        <v>81</v>
      </c>
      <c r="L23" s="8"/>
      <c r="M23" s="8"/>
    </row>
    <row r="24" ht="15.75" hidden="1" customHeight="1">
      <c r="A24" s="6" t="s">
        <v>433</v>
      </c>
      <c r="B24" s="6" t="s">
        <v>183</v>
      </c>
      <c r="C24" s="6" t="s">
        <v>184</v>
      </c>
      <c r="D24" s="6" t="s">
        <v>437</v>
      </c>
      <c r="E24" s="6" t="s">
        <v>438</v>
      </c>
      <c r="F24" s="6" t="s">
        <v>440</v>
      </c>
      <c r="G24" s="6" t="s">
        <v>102</v>
      </c>
      <c r="H24" s="6" t="s">
        <v>441</v>
      </c>
      <c r="I24" s="6" t="s">
        <v>71</v>
      </c>
      <c r="J24" s="6" t="s">
        <v>73</v>
      </c>
      <c r="K24" s="11" t="s">
        <v>81</v>
      </c>
      <c r="L24" s="6"/>
      <c r="M24" s="6"/>
    </row>
    <row r="25" ht="15.75" hidden="1" customHeight="1">
      <c r="A25" s="8" t="s">
        <v>446</v>
      </c>
      <c r="B25" s="8" t="s">
        <v>183</v>
      </c>
      <c r="C25" s="8" t="s">
        <v>184</v>
      </c>
      <c r="D25" s="8" t="s">
        <v>448</v>
      </c>
      <c r="E25" s="8" t="s">
        <v>449</v>
      </c>
      <c r="F25" s="8" t="s">
        <v>450</v>
      </c>
      <c r="G25" s="8" t="s">
        <v>102</v>
      </c>
      <c r="H25" s="8" t="s">
        <v>452</v>
      </c>
      <c r="I25" s="8" t="s">
        <v>168</v>
      </c>
      <c r="J25" s="8" t="s">
        <v>73</v>
      </c>
      <c r="K25" s="12" t="s">
        <v>81</v>
      </c>
      <c r="L25" s="8"/>
      <c r="M25" s="8"/>
    </row>
    <row r="26" ht="15.75" customHeight="1">
      <c r="A26" s="6" t="s">
        <v>459</v>
      </c>
      <c r="B26" s="6" t="s">
        <v>183</v>
      </c>
      <c r="C26" s="6" t="s">
        <v>184</v>
      </c>
      <c r="D26" s="6" t="s">
        <v>461</v>
      </c>
      <c r="E26" s="6" t="s">
        <v>464</v>
      </c>
      <c r="F26" s="6" t="s">
        <v>467</v>
      </c>
      <c r="G26" s="6" t="s">
        <v>102</v>
      </c>
      <c r="H26" s="6" t="s">
        <v>471</v>
      </c>
      <c r="I26" s="6" t="s">
        <v>105</v>
      </c>
      <c r="J26" s="6" t="s">
        <v>169</v>
      </c>
      <c r="K26" s="6" t="s">
        <v>170</v>
      </c>
      <c r="L26" s="6"/>
      <c r="M26" s="6"/>
    </row>
    <row r="27" ht="15.75" hidden="1" customHeight="1">
      <c r="A27" s="8" t="s">
        <v>474</v>
      </c>
      <c r="B27" s="8" t="s">
        <v>183</v>
      </c>
      <c r="C27" s="8" t="s">
        <v>184</v>
      </c>
      <c r="D27" s="8" t="s">
        <v>477</v>
      </c>
      <c r="E27" s="8" t="s">
        <v>480</v>
      </c>
      <c r="F27" s="8" t="s">
        <v>482</v>
      </c>
      <c r="G27" s="8" t="s">
        <v>102</v>
      </c>
      <c r="H27" s="8" t="s">
        <v>484</v>
      </c>
      <c r="I27" s="8" t="s">
        <v>105</v>
      </c>
      <c r="J27" s="8" t="s">
        <v>431</v>
      </c>
      <c r="K27" s="12" t="s">
        <v>81</v>
      </c>
      <c r="L27" s="8"/>
      <c r="M27" s="8"/>
    </row>
    <row r="28" ht="15.75" hidden="1" customHeight="1">
      <c r="A28" s="6" t="s">
        <v>490</v>
      </c>
      <c r="B28" s="6" t="s">
        <v>183</v>
      </c>
      <c r="C28" s="6" t="s">
        <v>184</v>
      </c>
      <c r="D28" s="6" t="s">
        <v>493</v>
      </c>
      <c r="E28" s="6" t="s">
        <v>494</v>
      </c>
      <c r="F28" s="6" t="s">
        <v>482</v>
      </c>
      <c r="G28" s="6" t="s">
        <v>102</v>
      </c>
      <c r="H28" s="6" t="s">
        <v>498</v>
      </c>
      <c r="I28" s="6" t="s">
        <v>105</v>
      </c>
      <c r="J28" s="6" t="s">
        <v>431</v>
      </c>
      <c r="K28" s="11" t="s">
        <v>81</v>
      </c>
      <c r="L28" s="6"/>
      <c r="M28" s="6"/>
    </row>
    <row r="29" ht="15.75" hidden="1" customHeight="1">
      <c r="A29" s="8" t="s">
        <v>503</v>
      </c>
      <c r="B29" s="8" t="s">
        <v>504</v>
      </c>
      <c r="C29" s="8" t="s">
        <v>507</v>
      </c>
      <c r="D29" s="8" t="s">
        <v>508</v>
      </c>
      <c r="E29" s="8" t="s">
        <v>509</v>
      </c>
      <c r="F29" s="8" t="s">
        <v>511</v>
      </c>
      <c r="G29" s="8" t="s">
        <v>102</v>
      </c>
      <c r="H29" s="8" t="s">
        <v>514</v>
      </c>
      <c r="I29" s="8" t="s">
        <v>105</v>
      </c>
      <c r="J29" s="8" t="s">
        <v>73</v>
      </c>
      <c r="K29" s="12" t="s">
        <v>81</v>
      </c>
      <c r="L29" s="8"/>
      <c r="M29" s="8"/>
    </row>
    <row r="30" ht="15.75" customHeight="1">
      <c r="A30" s="6" t="s">
        <v>520</v>
      </c>
      <c r="B30" s="6" t="s">
        <v>504</v>
      </c>
      <c r="C30" s="6" t="s">
        <v>507</v>
      </c>
      <c r="D30" s="6" t="s">
        <v>522</v>
      </c>
      <c r="E30" s="6" t="s">
        <v>509</v>
      </c>
      <c r="F30" s="6" t="s">
        <v>525</v>
      </c>
      <c r="G30" s="6" t="s">
        <v>527</v>
      </c>
      <c r="H30" s="6" t="s">
        <v>528</v>
      </c>
      <c r="I30" s="6" t="s">
        <v>168</v>
      </c>
      <c r="J30" s="6" t="s">
        <v>169</v>
      </c>
      <c r="K30" s="6" t="s">
        <v>170</v>
      </c>
      <c r="L30" s="6"/>
      <c r="M30" s="6"/>
    </row>
    <row r="31" ht="15.75" hidden="1" customHeight="1">
      <c r="A31" s="8" t="s">
        <v>534</v>
      </c>
      <c r="B31" s="8" t="s">
        <v>504</v>
      </c>
      <c r="C31" s="8" t="s">
        <v>507</v>
      </c>
      <c r="D31" s="8" t="s">
        <v>537</v>
      </c>
      <c r="E31" s="8" t="s">
        <v>539</v>
      </c>
      <c r="F31" s="8" t="s">
        <v>540</v>
      </c>
      <c r="G31" s="8" t="s">
        <v>541</v>
      </c>
      <c r="H31" s="8" t="s">
        <v>543</v>
      </c>
      <c r="I31" s="8" t="s">
        <v>168</v>
      </c>
      <c r="J31" s="8" t="s">
        <v>73</v>
      </c>
      <c r="K31" s="12" t="s">
        <v>81</v>
      </c>
      <c r="L31" s="8"/>
      <c r="M31" s="8"/>
    </row>
    <row r="32" ht="15.75" hidden="1" customHeight="1">
      <c r="A32" s="6" t="s">
        <v>338</v>
      </c>
      <c r="B32" s="6" t="s">
        <v>504</v>
      </c>
      <c r="C32" s="6" t="s">
        <v>507</v>
      </c>
      <c r="D32" s="6" t="s">
        <v>550</v>
      </c>
      <c r="E32" s="6" t="s">
        <v>551</v>
      </c>
      <c r="F32" s="6" t="s">
        <v>552</v>
      </c>
      <c r="G32" s="6" t="s">
        <v>102</v>
      </c>
      <c r="H32" s="6" t="s">
        <v>554</v>
      </c>
      <c r="I32" s="6" t="s">
        <v>168</v>
      </c>
      <c r="J32" s="6" t="s">
        <v>73</v>
      </c>
      <c r="K32" s="11" t="s">
        <v>81</v>
      </c>
      <c r="L32" s="6"/>
      <c r="M32" s="11"/>
    </row>
    <row r="33" ht="15.75" hidden="1" customHeight="1">
      <c r="A33" s="8" t="s">
        <v>558</v>
      </c>
      <c r="B33" s="8" t="s">
        <v>504</v>
      </c>
      <c r="C33" s="8" t="s">
        <v>507</v>
      </c>
      <c r="D33" s="8" t="s">
        <v>560</v>
      </c>
      <c r="E33" s="8" t="s">
        <v>551</v>
      </c>
      <c r="F33" s="8" t="s">
        <v>563</v>
      </c>
      <c r="G33" s="8" t="s">
        <v>102</v>
      </c>
      <c r="H33" s="8" t="s">
        <v>565</v>
      </c>
      <c r="I33" s="8" t="s">
        <v>105</v>
      </c>
      <c r="J33" s="8" t="s">
        <v>73</v>
      </c>
      <c r="K33" s="12" t="s">
        <v>81</v>
      </c>
      <c r="L33" s="8"/>
      <c r="M33" s="11" t="s">
        <v>566</v>
      </c>
    </row>
    <row r="34" ht="15.75" hidden="1" customHeight="1">
      <c r="A34" s="6" t="s">
        <v>568</v>
      </c>
      <c r="B34" s="6" t="s">
        <v>504</v>
      </c>
      <c r="C34" s="6" t="s">
        <v>507</v>
      </c>
      <c r="D34" s="6" t="s">
        <v>571</v>
      </c>
      <c r="E34" s="6" t="s">
        <v>539</v>
      </c>
      <c r="F34" s="6" t="s">
        <v>573</v>
      </c>
      <c r="G34" s="6" t="s">
        <v>102</v>
      </c>
      <c r="H34" s="6" t="s">
        <v>575</v>
      </c>
      <c r="I34" s="6" t="s">
        <v>105</v>
      </c>
      <c r="J34" s="6" t="s">
        <v>73</v>
      </c>
      <c r="K34" s="11" t="s">
        <v>81</v>
      </c>
      <c r="L34" s="6"/>
      <c r="M34" s="6"/>
    </row>
    <row r="35" ht="15.75" hidden="1" customHeight="1">
      <c r="A35" s="8" t="s">
        <v>580</v>
      </c>
      <c r="B35" s="8" t="s">
        <v>504</v>
      </c>
      <c r="C35" s="8" t="s">
        <v>507</v>
      </c>
      <c r="D35" s="8" t="s">
        <v>582</v>
      </c>
      <c r="E35" s="8" t="s">
        <v>584</v>
      </c>
      <c r="F35" s="8" t="s">
        <v>586</v>
      </c>
      <c r="G35" s="8" t="s">
        <v>102</v>
      </c>
      <c r="H35" s="8" t="s">
        <v>588</v>
      </c>
      <c r="I35" s="8" t="s">
        <v>105</v>
      </c>
      <c r="J35" s="8" t="s">
        <v>73</v>
      </c>
      <c r="K35" s="12" t="s">
        <v>81</v>
      </c>
      <c r="L35" s="8"/>
      <c r="M35" s="8"/>
    </row>
    <row r="36" ht="15.75" hidden="1" customHeight="1">
      <c r="A36" s="6" t="s">
        <v>593</v>
      </c>
      <c r="B36" s="6" t="s">
        <v>504</v>
      </c>
      <c r="C36" s="6" t="s">
        <v>507</v>
      </c>
      <c r="D36" s="6" t="s">
        <v>595</v>
      </c>
      <c r="E36" s="6" t="s">
        <v>537</v>
      </c>
      <c r="F36" s="6" t="s">
        <v>598</v>
      </c>
      <c r="G36" s="6" t="s">
        <v>102</v>
      </c>
      <c r="H36" s="6" t="s">
        <v>601</v>
      </c>
      <c r="I36" s="6" t="s">
        <v>105</v>
      </c>
      <c r="J36" s="6" t="s">
        <v>73</v>
      </c>
      <c r="K36" s="11" t="s">
        <v>81</v>
      </c>
      <c r="L36" s="6"/>
      <c r="M36" s="6"/>
    </row>
    <row r="37" ht="15.75" hidden="1" customHeight="1">
      <c r="A37" s="8" t="s">
        <v>609</v>
      </c>
      <c r="B37" s="8" t="s">
        <v>504</v>
      </c>
      <c r="C37" s="8" t="s">
        <v>507</v>
      </c>
      <c r="D37" s="8" t="s">
        <v>612</v>
      </c>
      <c r="E37" s="8" t="s">
        <v>537</v>
      </c>
      <c r="F37" s="8" t="s">
        <v>613</v>
      </c>
      <c r="G37" s="8" t="s">
        <v>102</v>
      </c>
      <c r="H37" s="8" t="s">
        <v>614</v>
      </c>
      <c r="I37" s="8" t="s">
        <v>71</v>
      </c>
      <c r="J37" s="8" t="s">
        <v>73</v>
      </c>
      <c r="K37" s="12" t="s">
        <v>81</v>
      </c>
      <c r="L37" s="8"/>
      <c r="M37" s="8"/>
    </row>
    <row r="38" ht="15.75" hidden="1" customHeight="1">
      <c r="A38" s="6" t="s">
        <v>618</v>
      </c>
      <c r="B38" s="6" t="s">
        <v>504</v>
      </c>
      <c r="C38" s="6" t="s">
        <v>507</v>
      </c>
      <c r="D38" s="6" t="s">
        <v>620</v>
      </c>
      <c r="E38" s="6" t="s">
        <v>621</v>
      </c>
      <c r="F38" s="6" t="s">
        <v>622</v>
      </c>
      <c r="G38" s="6" t="s">
        <v>14</v>
      </c>
      <c r="H38" s="6" t="s">
        <v>623</v>
      </c>
      <c r="I38" s="6" t="s">
        <v>105</v>
      </c>
      <c r="J38" s="6" t="s">
        <v>73</v>
      </c>
      <c r="K38" s="11" t="s">
        <v>81</v>
      </c>
      <c r="L38" s="6"/>
      <c r="M38" s="6"/>
    </row>
    <row r="39" ht="15.75" customHeight="1">
      <c r="A39" s="8" t="s">
        <v>624</v>
      </c>
      <c r="B39" s="8" t="s">
        <v>504</v>
      </c>
      <c r="C39" s="8" t="s">
        <v>507</v>
      </c>
      <c r="D39" s="8" t="s">
        <v>245</v>
      </c>
      <c r="E39" s="8" t="s">
        <v>630</v>
      </c>
      <c r="F39" s="8" t="s">
        <v>247</v>
      </c>
      <c r="G39" s="8" t="s">
        <v>102</v>
      </c>
      <c r="H39" s="8" t="s">
        <v>632</v>
      </c>
      <c r="I39" s="8" t="s">
        <v>105</v>
      </c>
      <c r="J39" s="8" t="s">
        <v>169</v>
      </c>
      <c r="K39" s="8" t="s">
        <v>170</v>
      </c>
      <c r="L39" s="8"/>
      <c r="M39" s="8"/>
    </row>
    <row r="40" ht="15.75" customHeight="1">
      <c r="A40" s="6" t="s">
        <v>637</v>
      </c>
      <c r="B40" s="6" t="s">
        <v>504</v>
      </c>
      <c r="C40" s="6" t="s">
        <v>507</v>
      </c>
      <c r="D40" s="6" t="s">
        <v>638</v>
      </c>
      <c r="E40" s="6" t="s">
        <v>102</v>
      </c>
      <c r="F40" s="6" t="s">
        <v>436</v>
      </c>
      <c r="G40" s="6" t="s">
        <v>102</v>
      </c>
      <c r="H40" s="6" t="s">
        <v>641</v>
      </c>
      <c r="I40" s="6" t="s">
        <v>168</v>
      </c>
      <c r="J40" s="6" t="s">
        <v>169</v>
      </c>
      <c r="K40" s="6" t="s">
        <v>170</v>
      </c>
      <c r="L40" s="6"/>
      <c r="M40" s="6"/>
    </row>
    <row r="41" ht="15.75" hidden="1" customHeight="1">
      <c r="A41" s="8" t="s">
        <v>644</v>
      </c>
      <c r="B41" s="8" t="s">
        <v>645</v>
      </c>
      <c r="C41" s="8" t="s">
        <v>93</v>
      </c>
      <c r="D41" s="8" t="s">
        <v>647</v>
      </c>
      <c r="E41" s="8" t="s">
        <v>424</v>
      </c>
      <c r="F41" s="8" t="s">
        <v>650</v>
      </c>
      <c r="G41" s="8" t="s">
        <v>102</v>
      </c>
      <c r="H41" s="8" t="s">
        <v>652</v>
      </c>
      <c r="I41" s="8" t="s">
        <v>71</v>
      </c>
      <c r="J41" s="8" t="s">
        <v>73</v>
      </c>
      <c r="K41" s="12" t="s">
        <v>81</v>
      </c>
      <c r="L41" s="8"/>
      <c r="M41" s="8"/>
    </row>
    <row r="42" ht="15.75" customHeight="1">
      <c r="A42" s="6" t="s">
        <v>656</v>
      </c>
      <c r="B42" s="6" t="s">
        <v>645</v>
      </c>
      <c r="C42" s="6" t="s">
        <v>93</v>
      </c>
      <c r="D42" s="6" t="s">
        <v>658</v>
      </c>
      <c r="E42" s="6" t="s">
        <v>102</v>
      </c>
      <c r="F42" s="6" t="s">
        <v>659</v>
      </c>
      <c r="G42" s="6" t="s">
        <v>660</v>
      </c>
      <c r="H42" s="6" t="s">
        <v>662</v>
      </c>
      <c r="I42" s="6" t="s">
        <v>105</v>
      </c>
      <c r="J42" s="6" t="s">
        <v>169</v>
      </c>
      <c r="K42" s="6" t="s">
        <v>170</v>
      </c>
      <c r="L42" s="6"/>
      <c r="M42" s="6"/>
    </row>
    <row r="43" ht="15.75" hidden="1" customHeight="1">
      <c r="A43" s="8" t="s">
        <v>666</v>
      </c>
      <c r="B43" s="8" t="s">
        <v>645</v>
      </c>
      <c r="C43" s="8" t="s">
        <v>93</v>
      </c>
      <c r="D43" s="8" t="s">
        <v>667</v>
      </c>
      <c r="E43" s="8" t="s">
        <v>668</v>
      </c>
      <c r="F43" s="8" t="s">
        <v>670</v>
      </c>
      <c r="G43" s="8" t="s">
        <v>102</v>
      </c>
      <c r="H43" s="8" t="s">
        <v>672</v>
      </c>
      <c r="I43" s="8" t="s">
        <v>71</v>
      </c>
      <c r="J43" s="8" t="s">
        <v>73</v>
      </c>
      <c r="K43" s="12" t="s">
        <v>81</v>
      </c>
      <c r="L43" s="8"/>
      <c r="M43" s="12" t="s">
        <v>675</v>
      </c>
    </row>
    <row r="44" ht="15.75" hidden="1" customHeight="1">
      <c r="A44" s="6" t="s">
        <v>676</v>
      </c>
      <c r="B44" s="6" t="s">
        <v>645</v>
      </c>
      <c r="C44" s="6" t="s">
        <v>93</v>
      </c>
      <c r="D44" s="6" t="s">
        <v>678</v>
      </c>
      <c r="E44" s="6" t="s">
        <v>679</v>
      </c>
      <c r="F44" s="6" t="s">
        <v>681</v>
      </c>
      <c r="G44" s="6" t="s">
        <v>682</v>
      </c>
      <c r="H44" s="6" t="s">
        <v>683</v>
      </c>
      <c r="I44" s="6" t="s">
        <v>105</v>
      </c>
      <c r="J44" s="6" t="s">
        <v>73</v>
      </c>
      <c r="K44" s="11" t="s">
        <v>81</v>
      </c>
      <c r="L44" s="6"/>
      <c r="M44" s="6"/>
    </row>
    <row r="45" ht="15.75" hidden="1" customHeight="1">
      <c r="A45" s="8" t="s">
        <v>686</v>
      </c>
      <c r="B45" s="8" t="s">
        <v>645</v>
      </c>
      <c r="C45" s="8" t="s">
        <v>93</v>
      </c>
      <c r="D45" s="8" t="s">
        <v>688</v>
      </c>
      <c r="E45" s="8" t="s">
        <v>689</v>
      </c>
      <c r="F45" s="8" t="s">
        <v>690</v>
      </c>
      <c r="G45" s="8" t="s">
        <v>102</v>
      </c>
      <c r="H45" s="8" t="s">
        <v>692</v>
      </c>
      <c r="I45" s="8" t="s">
        <v>105</v>
      </c>
      <c r="J45" s="8" t="s">
        <v>73</v>
      </c>
      <c r="K45" s="12" t="s">
        <v>81</v>
      </c>
      <c r="L45" s="8"/>
      <c r="M45" s="8"/>
    </row>
    <row r="46" ht="15.75" hidden="1" customHeight="1">
      <c r="A46" s="6" t="s">
        <v>695</v>
      </c>
      <c r="B46" s="6" t="s">
        <v>645</v>
      </c>
      <c r="C46" s="6" t="s">
        <v>93</v>
      </c>
      <c r="D46" s="6" t="s">
        <v>98</v>
      </c>
      <c r="E46" s="6" t="s">
        <v>696</v>
      </c>
      <c r="F46" s="6" t="s">
        <v>698</v>
      </c>
      <c r="G46" s="6" t="s">
        <v>102</v>
      </c>
      <c r="H46" s="6" t="s">
        <v>699</v>
      </c>
      <c r="I46" s="6" t="s">
        <v>105</v>
      </c>
      <c r="J46" s="6" t="s">
        <v>73</v>
      </c>
      <c r="K46" s="11" t="s">
        <v>81</v>
      </c>
      <c r="L46" s="6"/>
      <c r="M46" s="11" t="s">
        <v>703</v>
      </c>
    </row>
    <row r="47" ht="15.75" hidden="1" customHeight="1">
      <c r="A47" s="8" t="s">
        <v>704</v>
      </c>
      <c r="B47" s="8" t="s">
        <v>645</v>
      </c>
      <c r="C47" s="8" t="s">
        <v>93</v>
      </c>
      <c r="D47" s="8" t="s">
        <v>705</v>
      </c>
      <c r="E47" s="8" t="s">
        <v>707</v>
      </c>
      <c r="F47" s="8" t="s">
        <v>708</v>
      </c>
      <c r="G47" s="8" t="s">
        <v>102</v>
      </c>
      <c r="H47" s="8" t="s">
        <v>710</v>
      </c>
      <c r="I47" s="8" t="s">
        <v>105</v>
      </c>
      <c r="J47" s="8" t="s">
        <v>73</v>
      </c>
      <c r="K47" s="12" t="s">
        <v>81</v>
      </c>
      <c r="L47" s="8"/>
      <c r="M47" s="8"/>
    </row>
    <row r="48" ht="15.75" hidden="1" customHeight="1">
      <c r="A48" s="6" t="s">
        <v>712</v>
      </c>
      <c r="B48" s="6" t="s">
        <v>645</v>
      </c>
      <c r="C48" s="6" t="s">
        <v>93</v>
      </c>
      <c r="D48" s="6" t="s">
        <v>713</v>
      </c>
      <c r="E48" s="6" t="s">
        <v>714</v>
      </c>
      <c r="F48" s="6" t="s">
        <v>715</v>
      </c>
      <c r="G48" s="6" t="s">
        <v>102</v>
      </c>
      <c r="H48" s="6" t="s">
        <v>717</v>
      </c>
      <c r="I48" s="6" t="s">
        <v>71</v>
      </c>
      <c r="J48" s="6" t="s">
        <v>73</v>
      </c>
      <c r="K48" s="11" t="s">
        <v>81</v>
      </c>
      <c r="L48" s="6"/>
      <c r="M48" s="6"/>
    </row>
    <row r="49" ht="15.75" hidden="1" customHeight="1">
      <c r="A49" s="8" t="s">
        <v>719</v>
      </c>
      <c r="B49" s="8" t="s">
        <v>645</v>
      </c>
      <c r="C49" s="8" t="s">
        <v>93</v>
      </c>
      <c r="D49" s="8" t="s">
        <v>722</v>
      </c>
      <c r="E49" s="8" t="s">
        <v>723</v>
      </c>
      <c r="F49" s="8" t="s">
        <v>724</v>
      </c>
      <c r="G49" s="8" t="s">
        <v>102</v>
      </c>
      <c r="H49" s="8" t="s">
        <v>725</v>
      </c>
      <c r="I49" s="8" t="s">
        <v>105</v>
      </c>
      <c r="J49" s="8" t="s">
        <v>73</v>
      </c>
      <c r="K49" s="12" t="s">
        <v>81</v>
      </c>
      <c r="L49" s="8"/>
      <c r="M49" s="8"/>
    </row>
    <row r="50" ht="15.75" hidden="1" customHeight="1">
      <c r="A50" s="6" t="s">
        <v>727</v>
      </c>
      <c r="B50" s="6" t="s">
        <v>728</v>
      </c>
      <c r="C50" s="6" t="s">
        <v>730</v>
      </c>
      <c r="D50" s="6" t="s">
        <v>731</v>
      </c>
      <c r="E50" s="6" t="s">
        <v>733</v>
      </c>
      <c r="F50" s="6" t="s">
        <v>734</v>
      </c>
      <c r="G50" s="6" t="s">
        <v>736</v>
      </c>
      <c r="H50" s="6" t="s">
        <v>737</v>
      </c>
      <c r="I50" s="6" t="s">
        <v>168</v>
      </c>
      <c r="J50" s="6" t="s">
        <v>73</v>
      </c>
      <c r="K50" s="11" t="s">
        <v>81</v>
      </c>
      <c r="L50" s="6"/>
      <c r="M50" s="11" t="s">
        <v>738</v>
      </c>
    </row>
    <row r="51" ht="15.75" hidden="1" customHeight="1">
      <c r="A51" s="8" t="s">
        <v>740</v>
      </c>
      <c r="B51" s="8" t="s">
        <v>728</v>
      </c>
      <c r="C51" s="8" t="s">
        <v>730</v>
      </c>
      <c r="D51" s="8" t="s">
        <v>742</v>
      </c>
      <c r="E51" s="8" t="s">
        <v>744</v>
      </c>
      <c r="F51" s="8" t="s">
        <v>734</v>
      </c>
      <c r="G51" s="8" t="s">
        <v>102</v>
      </c>
      <c r="H51" s="8" t="s">
        <v>746</v>
      </c>
      <c r="I51" s="8" t="s">
        <v>168</v>
      </c>
      <c r="J51" s="8" t="s">
        <v>73</v>
      </c>
      <c r="K51" s="12" t="s">
        <v>81</v>
      </c>
      <c r="L51" s="8"/>
      <c r="M51" s="12" t="s">
        <v>747</v>
      </c>
    </row>
    <row r="52" ht="15.75" hidden="1" customHeight="1">
      <c r="A52" s="6" t="s">
        <v>748</v>
      </c>
      <c r="B52" s="6" t="s">
        <v>728</v>
      </c>
      <c r="C52" s="6" t="s">
        <v>730</v>
      </c>
      <c r="D52" s="6" t="s">
        <v>750</v>
      </c>
      <c r="E52" s="6" t="s">
        <v>102</v>
      </c>
      <c r="F52" s="6" t="s">
        <v>752</v>
      </c>
      <c r="G52" s="6" t="s">
        <v>102</v>
      </c>
      <c r="H52" s="6" t="s">
        <v>754</v>
      </c>
      <c r="I52" s="6" t="s">
        <v>105</v>
      </c>
      <c r="J52" s="6" t="s">
        <v>73</v>
      </c>
      <c r="K52" s="11" t="s">
        <v>81</v>
      </c>
      <c r="L52" s="6"/>
      <c r="M52" s="6"/>
    </row>
    <row r="53" ht="15.75" hidden="1" customHeight="1">
      <c r="A53" s="8" t="s">
        <v>756</v>
      </c>
      <c r="B53" s="8" t="s">
        <v>728</v>
      </c>
      <c r="C53" s="8" t="s">
        <v>730</v>
      </c>
      <c r="D53" s="8" t="s">
        <v>758</v>
      </c>
      <c r="E53" s="8" t="s">
        <v>293</v>
      </c>
      <c r="F53" s="8" t="s">
        <v>760</v>
      </c>
      <c r="G53" s="8" t="s">
        <v>102</v>
      </c>
      <c r="H53" s="8" t="s">
        <v>572</v>
      </c>
      <c r="I53" s="8" t="s">
        <v>168</v>
      </c>
      <c r="J53" s="8" t="s">
        <v>73</v>
      </c>
      <c r="K53" s="12" t="s">
        <v>81</v>
      </c>
      <c r="L53" s="8"/>
      <c r="M53" s="12" t="s">
        <v>763</v>
      </c>
    </row>
    <row r="54" ht="15.75" hidden="1" customHeight="1">
      <c r="A54" s="6" t="s">
        <v>764</v>
      </c>
      <c r="B54" s="6" t="s">
        <v>728</v>
      </c>
      <c r="C54" s="6" t="s">
        <v>730</v>
      </c>
      <c r="D54" s="6" t="s">
        <v>765</v>
      </c>
      <c r="E54" s="6" t="s">
        <v>293</v>
      </c>
      <c r="F54" s="6" t="s">
        <v>766</v>
      </c>
      <c r="G54" s="6" t="s">
        <v>102</v>
      </c>
      <c r="H54" s="6" t="s">
        <v>767</v>
      </c>
      <c r="I54" s="6" t="s">
        <v>168</v>
      </c>
      <c r="J54" s="6" t="s">
        <v>73</v>
      </c>
      <c r="K54" s="11" t="s">
        <v>81</v>
      </c>
      <c r="L54" s="6"/>
      <c r="M54" s="12" t="s">
        <v>768</v>
      </c>
    </row>
    <row r="55" ht="15.75" hidden="1" customHeight="1">
      <c r="A55" s="8" t="s">
        <v>769</v>
      </c>
      <c r="B55" s="8" t="s">
        <v>728</v>
      </c>
      <c r="C55" s="8" t="s">
        <v>730</v>
      </c>
      <c r="D55" s="8" t="s">
        <v>771</v>
      </c>
      <c r="E55" s="8" t="s">
        <v>773</v>
      </c>
      <c r="F55" s="8" t="s">
        <v>774</v>
      </c>
      <c r="G55" s="8" t="s">
        <v>102</v>
      </c>
      <c r="H55" s="8" t="s">
        <v>776</v>
      </c>
      <c r="I55" s="8" t="s">
        <v>168</v>
      </c>
      <c r="J55" s="8" t="s">
        <v>169</v>
      </c>
      <c r="K55" s="12" t="s">
        <v>81</v>
      </c>
      <c r="L55" s="8"/>
      <c r="M55" s="8"/>
    </row>
    <row r="56" ht="15.75" hidden="1" customHeight="1">
      <c r="A56" s="6" t="s">
        <v>778</v>
      </c>
      <c r="B56" s="6" t="s">
        <v>728</v>
      </c>
      <c r="C56" s="6" t="s">
        <v>730</v>
      </c>
      <c r="D56" s="6" t="s">
        <v>780</v>
      </c>
      <c r="E56" s="6" t="s">
        <v>327</v>
      </c>
      <c r="F56" s="6" t="s">
        <v>781</v>
      </c>
      <c r="G56" s="6" t="s">
        <v>102</v>
      </c>
      <c r="H56" s="6" t="s">
        <v>776</v>
      </c>
      <c r="I56" s="6" t="s">
        <v>168</v>
      </c>
      <c r="J56" s="6" t="s">
        <v>169</v>
      </c>
      <c r="K56" s="11" t="s">
        <v>81</v>
      </c>
      <c r="L56" s="6"/>
      <c r="M56" s="6"/>
    </row>
    <row r="57" ht="15.75" hidden="1" customHeight="1">
      <c r="A57" s="8" t="s">
        <v>785</v>
      </c>
      <c r="B57" s="8" t="s">
        <v>728</v>
      </c>
      <c r="C57" s="8" t="s">
        <v>730</v>
      </c>
      <c r="D57" s="8" t="s">
        <v>786</v>
      </c>
      <c r="E57" s="8" t="s">
        <v>218</v>
      </c>
      <c r="F57" s="8" t="s">
        <v>788</v>
      </c>
      <c r="G57" s="8" t="s">
        <v>102</v>
      </c>
      <c r="H57" s="8" t="s">
        <v>790</v>
      </c>
      <c r="I57" s="8" t="s">
        <v>105</v>
      </c>
      <c r="J57" s="8" t="s">
        <v>73</v>
      </c>
      <c r="K57" s="12" t="s">
        <v>81</v>
      </c>
      <c r="L57" s="8"/>
      <c r="M57" s="12" t="s">
        <v>793</v>
      </c>
    </row>
    <row r="58" ht="15.75" hidden="1" customHeight="1">
      <c r="A58" s="6" t="s">
        <v>388</v>
      </c>
      <c r="B58" s="6" t="s">
        <v>728</v>
      </c>
      <c r="C58" s="6" t="s">
        <v>730</v>
      </c>
      <c r="D58" s="6" t="s">
        <v>794</v>
      </c>
      <c r="E58" s="6" t="s">
        <v>796</v>
      </c>
      <c r="F58" s="6" t="s">
        <v>797</v>
      </c>
      <c r="G58" s="6" t="s">
        <v>102</v>
      </c>
      <c r="H58" s="6" t="s">
        <v>799</v>
      </c>
      <c r="I58" s="6" t="s">
        <v>105</v>
      </c>
      <c r="J58" s="6" t="s">
        <v>73</v>
      </c>
      <c r="K58" s="11" t="s">
        <v>163</v>
      </c>
      <c r="L58" s="6"/>
      <c r="M58" s="6"/>
    </row>
    <row r="59" ht="15.75" hidden="1" customHeight="1">
      <c r="A59" s="8" t="s">
        <v>804</v>
      </c>
      <c r="B59" s="8" t="s">
        <v>728</v>
      </c>
      <c r="C59" s="8" t="s">
        <v>730</v>
      </c>
      <c r="D59" s="8" t="s">
        <v>806</v>
      </c>
      <c r="E59" s="8" t="s">
        <v>808</v>
      </c>
      <c r="F59" s="8" t="s">
        <v>809</v>
      </c>
      <c r="G59" s="8" t="s">
        <v>102</v>
      </c>
      <c r="H59" s="8" t="s">
        <v>811</v>
      </c>
      <c r="I59" s="8" t="s">
        <v>105</v>
      </c>
      <c r="J59" s="8" t="s">
        <v>73</v>
      </c>
      <c r="K59" s="12" t="s">
        <v>81</v>
      </c>
      <c r="L59" s="8"/>
      <c r="M59" s="12" t="s">
        <v>813</v>
      </c>
    </row>
    <row r="60" ht="15.75" hidden="1" customHeight="1">
      <c r="A60" s="6" t="s">
        <v>817</v>
      </c>
      <c r="B60" s="6" t="s">
        <v>728</v>
      </c>
      <c r="C60" s="6" t="s">
        <v>730</v>
      </c>
      <c r="D60" s="6" t="s">
        <v>819</v>
      </c>
      <c r="E60" s="6" t="s">
        <v>293</v>
      </c>
      <c r="F60" s="6" t="s">
        <v>821</v>
      </c>
      <c r="G60" s="6" t="s">
        <v>822</v>
      </c>
      <c r="H60" s="6" t="s">
        <v>824</v>
      </c>
      <c r="I60" s="6" t="s">
        <v>105</v>
      </c>
      <c r="J60" s="6" t="s">
        <v>73</v>
      </c>
      <c r="K60" s="6" t="s">
        <v>163</v>
      </c>
      <c r="L60" s="6"/>
      <c r="M60" s="6" t="s">
        <v>828</v>
      </c>
    </row>
    <row r="61" ht="15.75" hidden="1" customHeight="1">
      <c r="A61" s="8" t="s">
        <v>829</v>
      </c>
      <c r="B61" s="8" t="s">
        <v>728</v>
      </c>
      <c r="C61" s="8" t="s">
        <v>730</v>
      </c>
      <c r="D61" s="8" t="s">
        <v>830</v>
      </c>
      <c r="E61" s="8" t="s">
        <v>831</v>
      </c>
      <c r="F61" s="8" t="s">
        <v>832</v>
      </c>
      <c r="G61" s="8" t="s">
        <v>102</v>
      </c>
      <c r="H61" s="8" t="s">
        <v>833</v>
      </c>
      <c r="I61" s="8" t="s">
        <v>168</v>
      </c>
      <c r="J61" s="8" t="s">
        <v>73</v>
      </c>
      <c r="K61" s="12" t="s">
        <v>81</v>
      </c>
      <c r="L61" s="8"/>
      <c r="M61" s="8"/>
    </row>
    <row r="62" ht="15.75" hidden="1" customHeight="1">
      <c r="A62" s="6" t="s">
        <v>834</v>
      </c>
      <c r="B62" s="6" t="s">
        <v>835</v>
      </c>
      <c r="C62" s="6" t="s">
        <v>836</v>
      </c>
      <c r="D62" s="6" t="s">
        <v>837</v>
      </c>
      <c r="E62" s="6" t="s">
        <v>838</v>
      </c>
      <c r="F62" s="6" t="s">
        <v>839</v>
      </c>
      <c r="G62" s="6" t="s">
        <v>102</v>
      </c>
      <c r="H62" s="6" t="s">
        <v>840</v>
      </c>
      <c r="I62" s="6" t="s">
        <v>71</v>
      </c>
      <c r="J62" s="6" t="s">
        <v>73</v>
      </c>
      <c r="K62" s="11" t="s">
        <v>81</v>
      </c>
      <c r="L62" s="6"/>
      <c r="M62" s="6"/>
    </row>
    <row r="63" ht="15.75" hidden="1" customHeight="1">
      <c r="A63" s="8" t="s">
        <v>841</v>
      </c>
      <c r="B63" s="8" t="s">
        <v>835</v>
      </c>
      <c r="C63" s="8" t="s">
        <v>836</v>
      </c>
      <c r="D63" s="8" t="s">
        <v>842</v>
      </c>
      <c r="E63" s="8" t="s">
        <v>843</v>
      </c>
      <c r="F63" s="8" t="s">
        <v>844</v>
      </c>
      <c r="G63" s="8" t="s">
        <v>102</v>
      </c>
      <c r="H63" s="8" t="s">
        <v>845</v>
      </c>
      <c r="I63" s="8" t="s">
        <v>71</v>
      </c>
      <c r="J63" s="8" t="s">
        <v>73</v>
      </c>
      <c r="K63" s="12" t="s">
        <v>81</v>
      </c>
      <c r="L63" s="8"/>
      <c r="M63" s="8"/>
    </row>
    <row r="64" ht="15.75" hidden="1" customHeight="1">
      <c r="A64" s="6" t="s">
        <v>846</v>
      </c>
      <c r="B64" s="6" t="s">
        <v>835</v>
      </c>
      <c r="C64" s="6" t="s">
        <v>836</v>
      </c>
      <c r="D64" s="6" t="s">
        <v>847</v>
      </c>
      <c r="E64" s="6" t="s">
        <v>848</v>
      </c>
      <c r="F64" s="6" t="s">
        <v>849</v>
      </c>
      <c r="G64" s="6" t="s">
        <v>102</v>
      </c>
      <c r="H64" s="6" t="s">
        <v>850</v>
      </c>
      <c r="I64" s="6" t="s">
        <v>71</v>
      </c>
      <c r="J64" s="6" t="s">
        <v>73</v>
      </c>
      <c r="K64" s="11" t="s">
        <v>81</v>
      </c>
      <c r="L64" s="6"/>
      <c r="M64" s="6"/>
    </row>
    <row r="65" ht="15.75" hidden="1" customHeight="1">
      <c r="A65" s="8" t="s">
        <v>851</v>
      </c>
      <c r="B65" s="8" t="s">
        <v>835</v>
      </c>
      <c r="C65" s="8" t="s">
        <v>836</v>
      </c>
      <c r="D65" s="8" t="s">
        <v>852</v>
      </c>
      <c r="E65" s="8" t="s">
        <v>241</v>
      </c>
      <c r="F65" s="8" t="s">
        <v>853</v>
      </c>
      <c r="G65" s="8" t="s">
        <v>102</v>
      </c>
      <c r="H65" s="8" t="s">
        <v>854</v>
      </c>
      <c r="I65" s="8" t="s">
        <v>105</v>
      </c>
      <c r="J65" s="8" t="s">
        <v>73</v>
      </c>
      <c r="K65" s="12" t="s">
        <v>81</v>
      </c>
      <c r="L65" s="8"/>
      <c r="M65" s="8"/>
    </row>
    <row r="66" ht="15.75" hidden="1" customHeight="1">
      <c r="A66" s="6" t="s">
        <v>855</v>
      </c>
      <c r="B66" s="6" t="s">
        <v>835</v>
      </c>
      <c r="C66" s="6" t="s">
        <v>836</v>
      </c>
      <c r="D66" s="6" t="s">
        <v>856</v>
      </c>
      <c r="E66" s="6" t="s">
        <v>132</v>
      </c>
      <c r="F66" s="6" t="s">
        <v>857</v>
      </c>
      <c r="G66" s="6" t="s">
        <v>102</v>
      </c>
      <c r="H66" s="6" t="s">
        <v>858</v>
      </c>
      <c r="I66" s="6" t="s">
        <v>105</v>
      </c>
      <c r="J66" s="6" t="s">
        <v>73</v>
      </c>
      <c r="K66" s="11" t="s">
        <v>81</v>
      </c>
      <c r="L66" s="6"/>
      <c r="M66" s="6"/>
    </row>
    <row r="67" ht="15.75" hidden="1" customHeight="1">
      <c r="A67" s="8" t="s">
        <v>859</v>
      </c>
      <c r="B67" s="8" t="s">
        <v>835</v>
      </c>
      <c r="C67" s="8" t="s">
        <v>836</v>
      </c>
      <c r="D67" s="8" t="s">
        <v>860</v>
      </c>
      <c r="E67" s="8" t="s">
        <v>861</v>
      </c>
      <c r="F67" s="8" t="s">
        <v>862</v>
      </c>
      <c r="G67" s="8" t="s">
        <v>102</v>
      </c>
      <c r="H67" s="8" t="s">
        <v>863</v>
      </c>
      <c r="I67" s="8" t="s">
        <v>105</v>
      </c>
      <c r="J67" s="8" t="s">
        <v>73</v>
      </c>
      <c r="K67" s="12" t="s">
        <v>81</v>
      </c>
      <c r="L67" s="8"/>
      <c r="M67" s="12" t="s">
        <v>864</v>
      </c>
    </row>
    <row r="68" ht="15.75" hidden="1" customHeight="1">
      <c r="A68" s="6" t="s">
        <v>865</v>
      </c>
      <c r="B68" s="6" t="s">
        <v>835</v>
      </c>
      <c r="C68" s="6" t="s">
        <v>836</v>
      </c>
      <c r="D68" s="6" t="s">
        <v>866</v>
      </c>
      <c r="E68" s="6" t="s">
        <v>867</v>
      </c>
      <c r="F68" s="6" t="s">
        <v>868</v>
      </c>
      <c r="G68" s="6" t="s">
        <v>102</v>
      </c>
      <c r="H68" s="6" t="s">
        <v>869</v>
      </c>
      <c r="I68" s="6" t="s">
        <v>105</v>
      </c>
      <c r="J68" s="6" t="s">
        <v>73</v>
      </c>
      <c r="K68" s="11" t="s">
        <v>81</v>
      </c>
      <c r="L68" s="6"/>
      <c r="M68" s="6"/>
    </row>
    <row r="69" ht="15.75" hidden="1" customHeight="1">
      <c r="A69" s="8" t="s">
        <v>870</v>
      </c>
      <c r="B69" s="8" t="s">
        <v>835</v>
      </c>
      <c r="C69" s="8" t="s">
        <v>836</v>
      </c>
      <c r="D69" s="8" t="s">
        <v>871</v>
      </c>
      <c r="E69" s="8" t="s">
        <v>241</v>
      </c>
      <c r="F69" s="8" t="s">
        <v>872</v>
      </c>
      <c r="G69" s="8" t="s">
        <v>102</v>
      </c>
      <c r="H69" s="8" t="s">
        <v>873</v>
      </c>
      <c r="I69" s="8" t="s">
        <v>71</v>
      </c>
      <c r="J69" s="8" t="s">
        <v>73</v>
      </c>
      <c r="K69" s="12" t="s">
        <v>81</v>
      </c>
      <c r="L69" s="8"/>
      <c r="M69" s="8"/>
    </row>
    <row r="70" ht="15.75" hidden="1" customHeight="1">
      <c r="A70" s="6" t="s">
        <v>874</v>
      </c>
      <c r="B70" s="6" t="s">
        <v>835</v>
      </c>
      <c r="C70" s="6" t="s">
        <v>836</v>
      </c>
      <c r="D70" s="6" t="s">
        <v>875</v>
      </c>
      <c r="E70" s="6" t="s">
        <v>293</v>
      </c>
      <c r="F70" s="6" t="s">
        <v>876</v>
      </c>
      <c r="G70" s="6" t="s">
        <v>102</v>
      </c>
      <c r="H70" s="6" t="s">
        <v>877</v>
      </c>
      <c r="I70" s="6" t="s">
        <v>168</v>
      </c>
      <c r="J70" s="6" t="s">
        <v>73</v>
      </c>
      <c r="K70" s="11" t="s">
        <v>81</v>
      </c>
      <c r="L70" s="6"/>
      <c r="M70" s="6"/>
    </row>
    <row r="71" ht="15.75" hidden="1" customHeight="1">
      <c r="A71" s="8" t="s">
        <v>878</v>
      </c>
      <c r="B71" s="8" t="s">
        <v>835</v>
      </c>
      <c r="C71" s="8" t="s">
        <v>836</v>
      </c>
      <c r="D71" s="8" t="s">
        <v>879</v>
      </c>
      <c r="E71" s="8" t="s">
        <v>880</v>
      </c>
      <c r="F71" s="8" t="s">
        <v>872</v>
      </c>
      <c r="G71" s="8" t="s">
        <v>102</v>
      </c>
      <c r="H71" s="8" t="s">
        <v>881</v>
      </c>
      <c r="I71" s="8" t="s">
        <v>105</v>
      </c>
      <c r="J71" s="8" t="s">
        <v>73</v>
      </c>
      <c r="K71" s="12" t="s">
        <v>81</v>
      </c>
      <c r="L71" s="8"/>
      <c r="M71" s="8"/>
    </row>
    <row r="72" ht="15.75" customHeight="1">
      <c r="A72" s="6" t="s">
        <v>882</v>
      </c>
      <c r="B72" s="6" t="s">
        <v>835</v>
      </c>
      <c r="C72" s="6" t="s">
        <v>836</v>
      </c>
      <c r="D72" s="6" t="s">
        <v>883</v>
      </c>
      <c r="E72" s="6" t="s">
        <v>241</v>
      </c>
      <c r="F72" s="6" t="s">
        <v>884</v>
      </c>
      <c r="G72" s="6" t="s">
        <v>102</v>
      </c>
      <c r="H72" s="6" t="s">
        <v>885</v>
      </c>
      <c r="I72" s="6" t="s">
        <v>105</v>
      </c>
      <c r="J72" s="6" t="s">
        <v>73</v>
      </c>
      <c r="K72" s="6" t="s">
        <v>170</v>
      </c>
      <c r="L72" s="6"/>
      <c r="M72" s="6"/>
    </row>
    <row r="73" ht="15.75" hidden="1" customHeight="1">
      <c r="A73" s="8" t="s">
        <v>886</v>
      </c>
      <c r="B73" s="8" t="s">
        <v>887</v>
      </c>
      <c r="C73" s="8" t="s">
        <v>888</v>
      </c>
      <c r="D73" s="8" t="s">
        <v>889</v>
      </c>
      <c r="E73" s="8" t="s">
        <v>218</v>
      </c>
      <c r="F73" s="8" t="s">
        <v>890</v>
      </c>
      <c r="G73" s="8" t="s">
        <v>102</v>
      </c>
      <c r="H73" s="8" t="s">
        <v>891</v>
      </c>
      <c r="I73" s="8" t="s">
        <v>105</v>
      </c>
      <c r="J73" s="8" t="s">
        <v>73</v>
      </c>
      <c r="K73" s="12" t="s">
        <v>81</v>
      </c>
      <c r="L73" s="8"/>
      <c r="M73" s="12" t="s">
        <v>892</v>
      </c>
    </row>
    <row r="74" ht="15.75" hidden="1" customHeight="1">
      <c r="A74" s="6" t="s">
        <v>893</v>
      </c>
      <c r="B74" s="6" t="s">
        <v>887</v>
      </c>
      <c r="C74" s="6" t="s">
        <v>888</v>
      </c>
      <c r="D74" s="6" t="s">
        <v>894</v>
      </c>
      <c r="E74" s="6" t="s">
        <v>218</v>
      </c>
      <c r="F74" s="6" t="s">
        <v>895</v>
      </c>
      <c r="G74" s="6" t="s">
        <v>102</v>
      </c>
      <c r="H74" s="6" t="s">
        <v>896</v>
      </c>
      <c r="I74" s="6" t="s">
        <v>105</v>
      </c>
      <c r="J74" s="6" t="s">
        <v>73</v>
      </c>
      <c r="K74" s="11" t="s">
        <v>81</v>
      </c>
      <c r="L74" s="6"/>
      <c r="M74" s="11" t="s">
        <v>897</v>
      </c>
    </row>
    <row r="75" ht="15.75" hidden="1" customHeight="1">
      <c r="A75" s="8" t="s">
        <v>898</v>
      </c>
      <c r="B75" s="8" t="s">
        <v>887</v>
      </c>
      <c r="C75" s="8" t="s">
        <v>888</v>
      </c>
      <c r="D75" s="8" t="s">
        <v>899</v>
      </c>
      <c r="E75" s="8" t="s">
        <v>293</v>
      </c>
      <c r="F75" s="8" t="s">
        <v>900</v>
      </c>
      <c r="G75" s="8" t="s">
        <v>102</v>
      </c>
      <c r="H75" s="8" t="s">
        <v>901</v>
      </c>
      <c r="I75" s="8" t="s">
        <v>71</v>
      </c>
      <c r="J75" s="8" t="s">
        <v>73</v>
      </c>
      <c r="K75" s="12" t="s">
        <v>81</v>
      </c>
      <c r="L75" s="8"/>
      <c r="M75" s="8"/>
    </row>
    <row r="76" ht="15.75" hidden="1" customHeight="1">
      <c r="A76" s="6" t="s">
        <v>902</v>
      </c>
      <c r="B76" s="6" t="s">
        <v>887</v>
      </c>
      <c r="C76" s="6" t="s">
        <v>888</v>
      </c>
      <c r="D76" s="6" t="s">
        <v>903</v>
      </c>
      <c r="E76" s="6" t="s">
        <v>293</v>
      </c>
      <c r="F76" s="6" t="s">
        <v>904</v>
      </c>
      <c r="G76" s="6" t="s">
        <v>102</v>
      </c>
      <c r="H76" s="6" t="s">
        <v>905</v>
      </c>
      <c r="I76" s="6" t="s">
        <v>105</v>
      </c>
      <c r="J76" s="6" t="s">
        <v>73</v>
      </c>
      <c r="K76" s="11" t="s">
        <v>81</v>
      </c>
      <c r="L76" s="6"/>
      <c r="M76" s="6"/>
    </row>
    <row r="77" ht="15.75" hidden="1" customHeight="1">
      <c r="A77" s="8" t="s">
        <v>906</v>
      </c>
      <c r="B77" s="8" t="s">
        <v>887</v>
      </c>
      <c r="C77" s="8" t="s">
        <v>888</v>
      </c>
      <c r="D77" s="8" t="s">
        <v>907</v>
      </c>
      <c r="E77" s="8" t="s">
        <v>218</v>
      </c>
      <c r="F77" s="8" t="s">
        <v>908</v>
      </c>
      <c r="G77" s="8" t="s">
        <v>909</v>
      </c>
      <c r="H77" s="8" t="s">
        <v>910</v>
      </c>
      <c r="I77" s="8" t="s">
        <v>71</v>
      </c>
      <c r="J77" s="8" t="s">
        <v>73</v>
      </c>
      <c r="K77" s="12" t="s">
        <v>81</v>
      </c>
      <c r="L77" s="8"/>
      <c r="M77" s="8"/>
    </row>
    <row r="78" ht="15.75" hidden="1" customHeight="1">
      <c r="A78" s="6" t="s">
        <v>911</v>
      </c>
      <c r="B78" s="6" t="s">
        <v>887</v>
      </c>
      <c r="C78" s="6" t="s">
        <v>888</v>
      </c>
      <c r="D78" s="6" t="s">
        <v>912</v>
      </c>
      <c r="E78" s="6" t="s">
        <v>913</v>
      </c>
      <c r="F78" s="6" t="s">
        <v>914</v>
      </c>
      <c r="G78" s="6" t="s">
        <v>102</v>
      </c>
      <c r="H78" s="6" t="s">
        <v>915</v>
      </c>
      <c r="I78" s="6" t="s">
        <v>105</v>
      </c>
      <c r="J78" s="6" t="s">
        <v>73</v>
      </c>
      <c r="K78" s="11" t="s">
        <v>81</v>
      </c>
      <c r="L78" s="6"/>
      <c r="M78" s="11" t="s">
        <v>916</v>
      </c>
    </row>
    <row r="79" ht="15.75" hidden="1" customHeight="1">
      <c r="A79" s="8" t="s">
        <v>917</v>
      </c>
      <c r="B79" s="8" t="s">
        <v>887</v>
      </c>
      <c r="C79" s="8" t="s">
        <v>888</v>
      </c>
      <c r="D79" s="8" t="s">
        <v>918</v>
      </c>
      <c r="E79" s="8" t="s">
        <v>919</v>
      </c>
      <c r="F79" s="8" t="s">
        <v>920</v>
      </c>
      <c r="G79" s="8" t="s">
        <v>102</v>
      </c>
      <c r="H79" s="8" t="s">
        <v>921</v>
      </c>
      <c r="I79" s="8" t="s">
        <v>105</v>
      </c>
      <c r="J79" s="8" t="s">
        <v>73</v>
      </c>
      <c r="K79" s="12" t="s">
        <v>81</v>
      </c>
      <c r="L79" s="8"/>
      <c r="M79" s="8"/>
    </row>
    <row r="80" ht="15.75" hidden="1" customHeight="1">
      <c r="A80" s="6" t="s">
        <v>922</v>
      </c>
      <c r="B80" s="6" t="s">
        <v>923</v>
      </c>
      <c r="C80" s="6" t="s">
        <v>146</v>
      </c>
      <c r="D80" s="6" t="s">
        <v>924</v>
      </c>
      <c r="E80" s="6" t="s">
        <v>218</v>
      </c>
      <c r="F80" s="6" t="s">
        <v>925</v>
      </c>
      <c r="G80" s="6" t="s">
        <v>102</v>
      </c>
      <c r="H80" s="6" t="s">
        <v>926</v>
      </c>
      <c r="I80" s="6" t="s">
        <v>105</v>
      </c>
      <c r="J80" s="6" t="s">
        <v>73</v>
      </c>
      <c r="K80" s="11" t="s">
        <v>81</v>
      </c>
      <c r="L80" s="6"/>
      <c r="M80" s="11" t="s">
        <v>927</v>
      </c>
    </row>
    <row r="81" ht="15.75" hidden="1" customHeight="1">
      <c r="A81" s="8" t="s">
        <v>928</v>
      </c>
      <c r="B81" s="8" t="s">
        <v>923</v>
      </c>
      <c r="C81" s="8" t="s">
        <v>146</v>
      </c>
      <c r="D81" s="8" t="s">
        <v>929</v>
      </c>
      <c r="E81" s="8" t="s">
        <v>218</v>
      </c>
      <c r="F81" s="8" t="s">
        <v>930</v>
      </c>
      <c r="G81" s="8" t="s">
        <v>931</v>
      </c>
      <c r="H81" s="8" t="s">
        <v>932</v>
      </c>
      <c r="I81" s="8" t="s">
        <v>105</v>
      </c>
      <c r="J81" s="8" t="s">
        <v>73</v>
      </c>
      <c r="K81" s="12" t="s">
        <v>81</v>
      </c>
      <c r="L81" s="8"/>
      <c r="M81" s="12" t="s">
        <v>933</v>
      </c>
    </row>
    <row r="82" ht="15.75" hidden="1" customHeight="1">
      <c r="A82" s="6" t="s">
        <v>934</v>
      </c>
      <c r="B82" s="6" t="s">
        <v>923</v>
      </c>
      <c r="C82" s="6" t="s">
        <v>146</v>
      </c>
      <c r="D82" s="6" t="s">
        <v>935</v>
      </c>
      <c r="E82" s="6" t="s">
        <v>936</v>
      </c>
      <c r="F82" s="6" t="s">
        <v>937</v>
      </c>
      <c r="G82" s="6" t="s">
        <v>102</v>
      </c>
      <c r="H82" s="6" t="s">
        <v>938</v>
      </c>
      <c r="I82" s="6" t="s">
        <v>105</v>
      </c>
      <c r="J82" s="6" t="s">
        <v>73</v>
      </c>
      <c r="K82" s="11" t="s">
        <v>81</v>
      </c>
      <c r="L82" s="6"/>
      <c r="M82" s="6"/>
    </row>
    <row r="83" ht="15.75" hidden="1" customHeight="1">
      <c r="A83" s="8" t="s">
        <v>939</v>
      </c>
      <c r="B83" s="8" t="s">
        <v>923</v>
      </c>
      <c r="C83" s="8" t="s">
        <v>146</v>
      </c>
      <c r="D83" s="8" t="s">
        <v>940</v>
      </c>
      <c r="E83" s="8" t="s">
        <v>941</v>
      </c>
      <c r="F83" s="8" t="s">
        <v>942</v>
      </c>
      <c r="G83" s="8" t="s">
        <v>102</v>
      </c>
      <c r="H83" s="8" t="s">
        <v>943</v>
      </c>
      <c r="I83" s="8" t="s">
        <v>105</v>
      </c>
      <c r="J83" s="8" t="s">
        <v>73</v>
      </c>
      <c r="K83" s="12" t="s">
        <v>81</v>
      </c>
      <c r="L83" s="8"/>
      <c r="M83" s="8"/>
    </row>
    <row r="84" ht="15.75" hidden="1" customHeight="1">
      <c r="A84" s="6" t="s">
        <v>944</v>
      </c>
      <c r="B84" s="6" t="s">
        <v>923</v>
      </c>
      <c r="C84" s="6" t="s">
        <v>146</v>
      </c>
      <c r="D84" s="6" t="s">
        <v>945</v>
      </c>
      <c r="E84" s="6" t="s">
        <v>147</v>
      </c>
      <c r="F84" s="6" t="s">
        <v>937</v>
      </c>
      <c r="G84" s="6" t="s">
        <v>102</v>
      </c>
      <c r="H84" s="6" t="s">
        <v>946</v>
      </c>
      <c r="I84" s="6" t="s">
        <v>71</v>
      </c>
      <c r="J84" s="6" t="s">
        <v>431</v>
      </c>
      <c r="K84" s="11" t="s">
        <v>163</v>
      </c>
      <c r="L84" s="6"/>
      <c r="M84" s="11" t="s">
        <v>947</v>
      </c>
    </row>
    <row r="85" ht="15.75" hidden="1" customHeight="1">
      <c r="A85" s="8" t="s">
        <v>948</v>
      </c>
      <c r="B85" s="8" t="s">
        <v>923</v>
      </c>
      <c r="C85" s="8" t="s">
        <v>146</v>
      </c>
      <c r="D85" s="8" t="s">
        <v>949</v>
      </c>
      <c r="E85" s="8" t="s">
        <v>149</v>
      </c>
      <c r="F85" s="8" t="s">
        <v>950</v>
      </c>
      <c r="G85" s="8" t="s">
        <v>102</v>
      </c>
      <c r="H85" s="8" t="s">
        <v>951</v>
      </c>
      <c r="I85" s="8" t="s">
        <v>168</v>
      </c>
      <c r="J85" s="8" t="s">
        <v>169</v>
      </c>
      <c r="K85" s="12" t="s">
        <v>163</v>
      </c>
      <c r="L85" s="8"/>
      <c r="M85" s="8"/>
    </row>
    <row r="86" ht="15.75" hidden="1" customHeight="1">
      <c r="A86" s="6" t="s">
        <v>952</v>
      </c>
      <c r="B86" s="6" t="s">
        <v>923</v>
      </c>
      <c r="C86" s="6" t="s">
        <v>146</v>
      </c>
      <c r="D86" s="6" t="s">
        <v>953</v>
      </c>
      <c r="E86" s="6" t="s">
        <v>954</v>
      </c>
      <c r="F86" s="6" t="s">
        <v>955</v>
      </c>
      <c r="G86" s="6" t="s">
        <v>102</v>
      </c>
      <c r="H86" s="6" t="s">
        <v>956</v>
      </c>
      <c r="I86" s="6" t="s">
        <v>71</v>
      </c>
      <c r="J86" s="6" t="s">
        <v>73</v>
      </c>
      <c r="K86" s="11" t="s">
        <v>81</v>
      </c>
      <c r="L86" s="6"/>
      <c r="M86" s="6"/>
    </row>
    <row r="87" ht="15.75" customHeight="1">
      <c r="A87" s="8" t="s">
        <v>957</v>
      </c>
      <c r="B87" s="8" t="s">
        <v>923</v>
      </c>
      <c r="C87" s="8" t="s">
        <v>146</v>
      </c>
      <c r="D87" s="8" t="s">
        <v>958</v>
      </c>
      <c r="E87" s="8" t="s">
        <v>959</v>
      </c>
      <c r="F87" s="8" t="s">
        <v>610</v>
      </c>
      <c r="G87" s="8" t="s">
        <v>102</v>
      </c>
      <c r="H87" s="8" t="s">
        <v>960</v>
      </c>
      <c r="I87" s="8" t="s">
        <v>105</v>
      </c>
      <c r="J87" s="8" t="s">
        <v>73</v>
      </c>
      <c r="K87" s="12" t="s">
        <v>961</v>
      </c>
      <c r="L87" s="8"/>
      <c r="M87" s="12" t="s">
        <v>962</v>
      </c>
    </row>
    <row r="88" ht="15.75" hidden="1" customHeight="1">
      <c r="A88" s="6" t="s">
        <v>963</v>
      </c>
      <c r="B88" s="6" t="s">
        <v>964</v>
      </c>
      <c r="C88" s="6" t="s">
        <v>965</v>
      </c>
      <c r="D88" s="6" t="s">
        <v>966</v>
      </c>
      <c r="E88" s="6" t="s">
        <v>134</v>
      </c>
      <c r="F88" s="6" t="s">
        <v>967</v>
      </c>
      <c r="G88" s="6" t="s">
        <v>102</v>
      </c>
      <c r="H88" s="6" t="s">
        <v>968</v>
      </c>
      <c r="I88" s="6" t="s">
        <v>105</v>
      </c>
      <c r="J88" s="6" t="s">
        <v>73</v>
      </c>
      <c r="K88" s="11" t="s">
        <v>81</v>
      </c>
      <c r="L88" s="6"/>
      <c r="M88" s="11" t="s">
        <v>969</v>
      </c>
    </row>
    <row r="89" ht="15.75" hidden="1" customHeight="1">
      <c r="A89" s="8" t="s">
        <v>970</v>
      </c>
      <c r="B89" s="8" t="s">
        <v>964</v>
      </c>
      <c r="C89" s="8" t="s">
        <v>965</v>
      </c>
      <c r="D89" s="8" t="s">
        <v>971</v>
      </c>
      <c r="E89" s="8" t="s">
        <v>972</v>
      </c>
      <c r="F89" s="8" t="s">
        <v>973</v>
      </c>
      <c r="G89" s="8" t="s">
        <v>102</v>
      </c>
      <c r="H89" s="8" t="s">
        <v>869</v>
      </c>
      <c r="I89" s="8" t="s">
        <v>105</v>
      </c>
      <c r="J89" s="8" t="s">
        <v>73</v>
      </c>
      <c r="K89" s="12" t="s">
        <v>81</v>
      </c>
      <c r="L89" s="8"/>
      <c r="M89" s="8"/>
    </row>
    <row r="90" ht="15.75" hidden="1" customHeight="1">
      <c r="A90" s="6" t="s">
        <v>974</v>
      </c>
      <c r="B90" s="6" t="s">
        <v>964</v>
      </c>
      <c r="C90" s="6" t="s">
        <v>965</v>
      </c>
      <c r="D90" s="6" t="s">
        <v>975</v>
      </c>
      <c r="E90" s="6" t="s">
        <v>102</v>
      </c>
      <c r="F90" s="6" t="s">
        <v>976</v>
      </c>
      <c r="G90" s="6" t="s">
        <v>102</v>
      </c>
      <c r="H90" s="6" t="s">
        <v>869</v>
      </c>
      <c r="I90" s="6" t="s">
        <v>105</v>
      </c>
      <c r="J90" s="6" t="s">
        <v>73</v>
      </c>
      <c r="K90" s="11" t="s">
        <v>81</v>
      </c>
      <c r="L90" s="6"/>
      <c r="M90" s="6"/>
    </row>
    <row r="91" ht="15.75" hidden="1" customHeight="1">
      <c r="A91" s="8" t="s">
        <v>977</v>
      </c>
      <c r="B91" s="8" t="s">
        <v>964</v>
      </c>
      <c r="C91" s="8" t="s">
        <v>965</v>
      </c>
      <c r="D91" s="8" t="s">
        <v>978</v>
      </c>
      <c r="E91" s="8" t="s">
        <v>979</v>
      </c>
      <c r="F91" s="8" t="s">
        <v>980</v>
      </c>
      <c r="G91" s="8" t="s">
        <v>102</v>
      </c>
      <c r="H91" s="8" t="s">
        <v>981</v>
      </c>
      <c r="I91" s="8" t="s">
        <v>71</v>
      </c>
      <c r="J91" s="8" t="s">
        <v>73</v>
      </c>
      <c r="K91" s="12" t="s">
        <v>81</v>
      </c>
      <c r="L91" s="8"/>
      <c r="M91" s="8"/>
    </row>
    <row r="92" ht="15.75" hidden="1" customHeight="1">
      <c r="A92" s="6" t="s">
        <v>982</v>
      </c>
      <c r="B92" s="6" t="s">
        <v>964</v>
      </c>
      <c r="C92" s="6" t="s">
        <v>965</v>
      </c>
      <c r="D92" s="6" t="s">
        <v>983</v>
      </c>
      <c r="E92" s="6" t="s">
        <v>984</v>
      </c>
      <c r="F92" s="6" t="s">
        <v>985</v>
      </c>
      <c r="G92" s="6" t="s">
        <v>102</v>
      </c>
      <c r="H92" s="6" t="s">
        <v>986</v>
      </c>
      <c r="I92" s="6" t="s">
        <v>71</v>
      </c>
      <c r="J92" s="6" t="s">
        <v>73</v>
      </c>
      <c r="K92" s="11" t="s">
        <v>81</v>
      </c>
      <c r="L92" s="6"/>
      <c r="M92" s="6"/>
    </row>
    <row r="93" ht="15.75" hidden="1" customHeight="1">
      <c r="A93" s="8" t="s">
        <v>987</v>
      </c>
      <c r="B93" s="8" t="s">
        <v>964</v>
      </c>
      <c r="C93" s="8" t="s">
        <v>965</v>
      </c>
      <c r="D93" s="8" t="s">
        <v>988</v>
      </c>
      <c r="E93" s="8" t="s">
        <v>989</v>
      </c>
      <c r="F93" s="8" t="s">
        <v>990</v>
      </c>
      <c r="G93" s="8" t="s">
        <v>102</v>
      </c>
      <c r="H93" s="8" t="s">
        <v>991</v>
      </c>
      <c r="I93" s="8" t="s">
        <v>71</v>
      </c>
      <c r="J93" s="8" t="s">
        <v>73</v>
      </c>
      <c r="K93" s="12" t="s">
        <v>81</v>
      </c>
      <c r="L93" s="8"/>
      <c r="M93" s="12"/>
    </row>
    <row r="94" ht="15.75" hidden="1" customHeight="1">
      <c r="A94" s="6" t="s">
        <v>992</v>
      </c>
      <c r="B94" s="6" t="s">
        <v>964</v>
      </c>
      <c r="C94" s="6" t="s">
        <v>965</v>
      </c>
      <c r="D94" s="6" t="s">
        <v>993</v>
      </c>
      <c r="E94" s="6" t="s">
        <v>994</v>
      </c>
      <c r="F94" s="6" t="s">
        <v>995</v>
      </c>
      <c r="G94" s="6" t="s">
        <v>102</v>
      </c>
      <c r="H94" s="6" t="s">
        <v>996</v>
      </c>
      <c r="I94" s="6" t="s">
        <v>71</v>
      </c>
      <c r="J94" s="6" t="s">
        <v>73</v>
      </c>
      <c r="K94" s="11" t="s">
        <v>81</v>
      </c>
      <c r="L94" s="6"/>
      <c r="M94" s="6"/>
    </row>
    <row r="95" ht="15.75" hidden="1" customHeight="1">
      <c r="A95" s="8" t="s">
        <v>997</v>
      </c>
      <c r="B95" s="8" t="s">
        <v>964</v>
      </c>
      <c r="C95" s="8" t="s">
        <v>965</v>
      </c>
      <c r="D95" s="8" t="s">
        <v>998</v>
      </c>
      <c r="E95" s="8" t="s">
        <v>999</v>
      </c>
      <c r="F95" s="8" t="s">
        <v>1000</v>
      </c>
      <c r="G95" s="8" t="s">
        <v>1001</v>
      </c>
      <c r="H95" s="8" t="s">
        <v>1002</v>
      </c>
      <c r="I95" s="8" t="s">
        <v>71</v>
      </c>
      <c r="J95" s="8" t="s">
        <v>73</v>
      </c>
      <c r="K95" s="12" t="s">
        <v>81</v>
      </c>
      <c r="L95" s="8"/>
      <c r="M95" s="8"/>
    </row>
    <row r="96" ht="15.75" hidden="1" customHeight="1">
      <c r="A96" s="8" t="s">
        <v>1003</v>
      </c>
      <c r="B96" s="8" t="s">
        <v>964</v>
      </c>
      <c r="C96" s="8" t="s">
        <v>965</v>
      </c>
      <c r="D96" s="8" t="s">
        <v>1004</v>
      </c>
      <c r="E96" s="8" t="s">
        <v>1005</v>
      </c>
      <c r="F96" s="8" t="s">
        <v>1006</v>
      </c>
      <c r="G96" s="8" t="s">
        <v>102</v>
      </c>
      <c r="H96" s="8" t="s">
        <v>1007</v>
      </c>
      <c r="I96" s="8" t="s">
        <v>105</v>
      </c>
      <c r="J96" s="8" t="s">
        <v>73</v>
      </c>
      <c r="K96" s="12" t="s">
        <v>81</v>
      </c>
      <c r="L96" s="8"/>
      <c r="M96" s="12" t="s">
        <v>1008</v>
      </c>
    </row>
    <row r="97" ht="15.75" hidden="1" customHeight="1">
      <c r="A97" s="8" t="s">
        <v>1009</v>
      </c>
      <c r="B97" s="8" t="s">
        <v>964</v>
      </c>
      <c r="C97" s="8" t="s">
        <v>965</v>
      </c>
      <c r="D97" s="8" t="s">
        <v>1010</v>
      </c>
      <c r="E97" s="8" t="s">
        <v>1005</v>
      </c>
      <c r="F97" s="8" t="s">
        <v>1011</v>
      </c>
      <c r="G97" s="8" t="s">
        <v>102</v>
      </c>
      <c r="H97" s="8" t="s">
        <v>1012</v>
      </c>
      <c r="I97" s="8" t="s">
        <v>168</v>
      </c>
      <c r="J97" s="8" t="s">
        <v>169</v>
      </c>
      <c r="K97" s="12" t="s">
        <v>81</v>
      </c>
      <c r="L97" s="8"/>
      <c r="M97" s="8"/>
    </row>
    <row r="98" ht="15.75" hidden="1" customHeight="1">
      <c r="A98" s="8" t="s">
        <v>1013</v>
      </c>
      <c r="B98" s="8" t="s">
        <v>964</v>
      </c>
      <c r="C98" s="8" t="s">
        <v>965</v>
      </c>
      <c r="D98" s="8" t="s">
        <v>1014</v>
      </c>
      <c r="E98" s="8" t="s">
        <v>1015</v>
      </c>
      <c r="F98" s="8" t="s">
        <v>1016</v>
      </c>
      <c r="G98" s="8" t="s">
        <v>102</v>
      </c>
      <c r="H98" s="8" t="s">
        <v>1017</v>
      </c>
      <c r="I98" s="8" t="s">
        <v>105</v>
      </c>
      <c r="J98" s="8" t="s">
        <v>73</v>
      </c>
      <c r="K98" s="12" t="s">
        <v>81</v>
      </c>
      <c r="L98" s="12"/>
      <c r="M98" s="12" t="s">
        <v>1018</v>
      </c>
    </row>
    <row r="99" ht="15.75" hidden="1" customHeight="1">
      <c r="A99" s="8" t="s">
        <v>1019</v>
      </c>
      <c r="B99" s="8" t="s">
        <v>1020</v>
      </c>
      <c r="C99" s="8" t="s">
        <v>965</v>
      </c>
      <c r="D99" s="8" t="s">
        <v>1021</v>
      </c>
      <c r="E99" s="8" t="s">
        <v>1022</v>
      </c>
      <c r="F99" s="8" t="s">
        <v>1023</v>
      </c>
      <c r="G99" s="8" t="s">
        <v>102</v>
      </c>
      <c r="H99" s="8" t="s">
        <v>1024</v>
      </c>
      <c r="I99" s="8" t="s">
        <v>71</v>
      </c>
      <c r="J99" s="8" t="s">
        <v>73</v>
      </c>
      <c r="K99" s="12" t="s">
        <v>81</v>
      </c>
      <c r="L99" s="8"/>
      <c r="M99" s="8"/>
    </row>
    <row r="100" ht="15.75" hidden="1" customHeight="1">
      <c r="A100" s="6" t="s">
        <v>1025</v>
      </c>
      <c r="B100" s="6" t="s">
        <v>1020</v>
      </c>
      <c r="C100" s="6" t="s">
        <v>965</v>
      </c>
      <c r="D100" s="6" t="s">
        <v>1026</v>
      </c>
      <c r="E100" s="6" t="s">
        <v>1027</v>
      </c>
      <c r="F100" s="6" t="s">
        <v>1028</v>
      </c>
      <c r="G100" s="6" t="s">
        <v>102</v>
      </c>
      <c r="H100" s="6" t="s">
        <v>1029</v>
      </c>
      <c r="I100" s="6" t="s">
        <v>105</v>
      </c>
      <c r="J100" s="6" t="s">
        <v>73</v>
      </c>
      <c r="K100" s="11" t="s">
        <v>81</v>
      </c>
      <c r="L100" s="6"/>
      <c r="M100" s="6"/>
    </row>
    <row r="101" ht="15.75" hidden="1" customHeight="1">
      <c r="A101" s="8" t="s">
        <v>1030</v>
      </c>
      <c r="B101" s="8" t="s">
        <v>1020</v>
      </c>
      <c r="C101" s="8" t="s">
        <v>965</v>
      </c>
      <c r="D101" s="8" t="s">
        <v>1031</v>
      </c>
      <c r="E101" s="8" t="s">
        <v>1027</v>
      </c>
      <c r="F101" s="8" t="s">
        <v>1032</v>
      </c>
      <c r="G101" s="8" t="s">
        <v>102</v>
      </c>
      <c r="H101" s="8" t="s">
        <v>1033</v>
      </c>
      <c r="I101" s="8" t="s">
        <v>71</v>
      </c>
      <c r="J101" s="8" t="s">
        <v>73</v>
      </c>
      <c r="K101" s="12" t="s">
        <v>81</v>
      </c>
      <c r="L101" s="8"/>
      <c r="M101" s="8"/>
    </row>
    <row r="102" ht="15.75" hidden="1" customHeight="1">
      <c r="A102" s="8" t="s">
        <v>1034</v>
      </c>
      <c r="B102" s="8" t="s">
        <v>1020</v>
      </c>
      <c r="C102" s="8" t="s">
        <v>965</v>
      </c>
      <c r="D102" s="8" t="s">
        <v>1035</v>
      </c>
      <c r="E102" s="8" t="s">
        <v>1027</v>
      </c>
      <c r="F102" s="8" t="s">
        <v>1036</v>
      </c>
      <c r="G102" s="8" t="s">
        <v>102</v>
      </c>
      <c r="H102" s="8" t="s">
        <v>1037</v>
      </c>
      <c r="I102" s="8" t="s">
        <v>71</v>
      </c>
      <c r="J102" s="8" t="s">
        <v>73</v>
      </c>
      <c r="K102" s="12" t="s">
        <v>81</v>
      </c>
      <c r="L102" s="8"/>
      <c r="M102" s="12" t="s">
        <v>1038</v>
      </c>
    </row>
    <row r="103" ht="15.75" hidden="1" customHeight="1">
      <c r="A103" s="8" t="s">
        <v>517</v>
      </c>
      <c r="B103" s="8" t="s">
        <v>1020</v>
      </c>
      <c r="C103" s="8" t="s">
        <v>965</v>
      </c>
      <c r="D103" s="8" t="s">
        <v>1039</v>
      </c>
      <c r="E103" s="8" t="s">
        <v>1027</v>
      </c>
      <c r="F103" s="8" t="s">
        <v>1040</v>
      </c>
      <c r="G103" s="8" t="s">
        <v>1041</v>
      </c>
      <c r="H103" s="8" t="s">
        <v>1042</v>
      </c>
      <c r="I103" s="8" t="s">
        <v>105</v>
      </c>
      <c r="J103" s="8" t="s">
        <v>73</v>
      </c>
      <c r="K103" s="12" t="s">
        <v>81</v>
      </c>
      <c r="L103" s="8"/>
      <c r="M103" s="12" t="s">
        <v>1043</v>
      </c>
    </row>
    <row r="104" ht="15.75" hidden="1" customHeight="1">
      <c r="A104" s="6" t="s">
        <v>1044</v>
      </c>
      <c r="B104" s="6" t="s">
        <v>1020</v>
      </c>
      <c r="C104" s="6" t="s">
        <v>965</v>
      </c>
      <c r="D104" s="6" t="s">
        <v>1045</v>
      </c>
      <c r="E104" s="6" t="s">
        <v>1027</v>
      </c>
      <c r="F104" s="6" t="s">
        <v>1046</v>
      </c>
      <c r="G104" s="6" t="s">
        <v>1047</v>
      </c>
      <c r="H104" s="6" t="s">
        <v>1042</v>
      </c>
      <c r="I104" s="6" t="s">
        <v>105</v>
      </c>
      <c r="J104" s="6" t="s">
        <v>73</v>
      </c>
      <c r="K104" s="11" t="s">
        <v>81</v>
      </c>
      <c r="L104" s="6"/>
      <c r="M104" s="6"/>
    </row>
    <row r="105" ht="15.75" hidden="1" customHeight="1">
      <c r="A105" s="8" t="s">
        <v>1048</v>
      </c>
      <c r="B105" s="8" t="s">
        <v>1020</v>
      </c>
      <c r="C105" s="8" t="s">
        <v>965</v>
      </c>
      <c r="D105" s="8" t="s">
        <v>1049</v>
      </c>
      <c r="E105" s="8" t="s">
        <v>1050</v>
      </c>
      <c r="F105" s="8" t="s">
        <v>1051</v>
      </c>
      <c r="G105" s="8" t="s">
        <v>102</v>
      </c>
      <c r="H105" s="8" t="s">
        <v>1052</v>
      </c>
      <c r="I105" s="8" t="s">
        <v>105</v>
      </c>
      <c r="J105" s="8" t="s">
        <v>73</v>
      </c>
      <c r="K105" s="12" t="s">
        <v>81</v>
      </c>
      <c r="L105" s="8"/>
      <c r="M105" s="8"/>
    </row>
    <row r="106" ht="15.75" hidden="1" customHeight="1">
      <c r="A106" s="8" t="s">
        <v>1053</v>
      </c>
      <c r="B106" s="8" t="s">
        <v>1020</v>
      </c>
      <c r="C106" s="8" t="s">
        <v>965</v>
      </c>
      <c r="D106" s="8" t="s">
        <v>1054</v>
      </c>
      <c r="E106" s="8" t="s">
        <v>102</v>
      </c>
      <c r="F106" s="8" t="s">
        <v>1055</v>
      </c>
      <c r="G106" s="8" t="s">
        <v>1056</v>
      </c>
      <c r="H106" s="8" t="s">
        <v>1057</v>
      </c>
      <c r="I106" s="8" t="s">
        <v>168</v>
      </c>
      <c r="J106" s="8" t="s">
        <v>169</v>
      </c>
      <c r="K106" s="12" t="s">
        <v>81</v>
      </c>
      <c r="L106" s="8"/>
      <c r="M106" s="8"/>
    </row>
    <row r="107" ht="15.75" hidden="1" customHeight="1">
      <c r="A107" s="8" t="s">
        <v>1058</v>
      </c>
      <c r="B107" s="8" t="s">
        <v>1020</v>
      </c>
      <c r="C107" s="8" t="s">
        <v>965</v>
      </c>
      <c r="D107" s="8" t="s">
        <v>1059</v>
      </c>
      <c r="E107" s="8" t="s">
        <v>1050</v>
      </c>
      <c r="F107" s="8" t="s">
        <v>1060</v>
      </c>
      <c r="G107" s="8" t="s">
        <v>102</v>
      </c>
      <c r="H107" s="8" t="s">
        <v>1061</v>
      </c>
      <c r="I107" s="8" t="s">
        <v>168</v>
      </c>
      <c r="J107" s="8" t="s">
        <v>169</v>
      </c>
      <c r="K107" s="12" t="s">
        <v>81</v>
      </c>
      <c r="L107" s="8"/>
      <c r="M107" s="8"/>
    </row>
    <row r="108" ht="15.75" hidden="1" customHeight="1">
      <c r="A108" s="8" t="s">
        <v>1062</v>
      </c>
      <c r="B108" s="8" t="s">
        <v>1020</v>
      </c>
      <c r="C108" s="8" t="s">
        <v>965</v>
      </c>
      <c r="D108" s="8" t="s">
        <v>1063</v>
      </c>
      <c r="E108" s="8" t="s">
        <v>1064</v>
      </c>
      <c r="F108" s="8" t="s">
        <v>1065</v>
      </c>
      <c r="G108" s="8" t="s">
        <v>102</v>
      </c>
      <c r="H108" s="8" t="s">
        <v>1066</v>
      </c>
      <c r="I108" s="8" t="s">
        <v>71</v>
      </c>
      <c r="J108" s="8" t="s">
        <v>73</v>
      </c>
      <c r="K108" s="12" t="s">
        <v>81</v>
      </c>
      <c r="L108" s="8"/>
      <c r="M108" s="12" t="s">
        <v>1067</v>
      </c>
    </row>
    <row r="109" ht="15.75" hidden="1" customHeight="1">
      <c r="A109" s="8" t="s">
        <v>1068</v>
      </c>
      <c r="B109" s="8" t="s">
        <v>1069</v>
      </c>
      <c r="C109" s="8" t="s">
        <v>1070</v>
      </c>
      <c r="D109" s="8" t="s">
        <v>1071</v>
      </c>
      <c r="E109" s="8" t="s">
        <v>1072</v>
      </c>
      <c r="F109" s="8" t="s">
        <v>1073</v>
      </c>
      <c r="G109" s="8" t="s">
        <v>102</v>
      </c>
      <c r="H109" s="8" t="s">
        <v>1074</v>
      </c>
      <c r="I109" s="8" t="s">
        <v>105</v>
      </c>
      <c r="J109" s="8" t="s">
        <v>73</v>
      </c>
      <c r="K109" s="12" t="s">
        <v>81</v>
      </c>
      <c r="L109" s="8"/>
      <c r="M109" s="8"/>
    </row>
    <row r="110" ht="15.75" hidden="1" customHeight="1">
      <c r="A110" s="6" t="s">
        <v>1075</v>
      </c>
      <c r="B110" s="6" t="s">
        <v>1069</v>
      </c>
      <c r="C110" s="6" t="s">
        <v>1070</v>
      </c>
      <c r="D110" s="6" t="s">
        <v>1076</v>
      </c>
      <c r="E110" s="6" t="s">
        <v>1077</v>
      </c>
      <c r="F110" s="6" t="s">
        <v>1078</v>
      </c>
      <c r="G110" s="6" t="s">
        <v>102</v>
      </c>
      <c r="H110" s="6" t="s">
        <v>1079</v>
      </c>
      <c r="I110" s="6" t="s">
        <v>168</v>
      </c>
      <c r="J110" s="6" t="s">
        <v>73</v>
      </c>
      <c r="K110" s="11" t="s">
        <v>81</v>
      </c>
      <c r="L110" s="6"/>
      <c r="M110" s="6"/>
    </row>
    <row r="111" ht="15.75" hidden="1" customHeight="1">
      <c r="A111" s="8" t="s">
        <v>1080</v>
      </c>
      <c r="B111" s="8" t="s">
        <v>1069</v>
      </c>
      <c r="C111" s="8" t="s">
        <v>1070</v>
      </c>
      <c r="D111" s="8" t="s">
        <v>1081</v>
      </c>
      <c r="E111" s="8" t="s">
        <v>1077</v>
      </c>
      <c r="F111" s="8" t="s">
        <v>1082</v>
      </c>
      <c r="G111" s="8" t="s">
        <v>102</v>
      </c>
      <c r="H111" s="8" t="s">
        <v>1079</v>
      </c>
      <c r="I111" s="8" t="s">
        <v>168</v>
      </c>
      <c r="J111" s="8" t="s">
        <v>73</v>
      </c>
      <c r="K111" s="12" t="s">
        <v>81</v>
      </c>
      <c r="L111" s="8"/>
      <c r="M111" s="8"/>
    </row>
    <row r="112" ht="15.75" hidden="1" customHeight="1">
      <c r="A112" s="8" t="s">
        <v>1083</v>
      </c>
      <c r="B112" s="8" t="s">
        <v>1069</v>
      </c>
      <c r="C112" s="8" t="s">
        <v>1070</v>
      </c>
      <c r="D112" s="8" t="s">
        <v>1084</v>
      </c>
      <c r="E112" s="8" t="s">
        <v>1085</v>
      </c>
      <c r="F112" s="8" t="s">
        <v>1086</v>
      </c>
      <c r="G112" s="8" t="s">
        <v>1087</v>
      </c>
      <c r="H112" s="8" t="s">
        <v>1088</v>
      </c>
      <c r="I112" s="8" t="s">
        <v>71</v>
      </c>
      <c r="J112" s="8" t="s">
        <v>73</v>
      </c>
      <c r="K112" s="12" t="s">
        <v>81</v>
      </c>
      <c r="L112" s="8"/>
      <c r="M112" s="8"/>
    </row>
    <row r="113" ht="15.75" hidden="1" customHeight="1">
      <c r="A113" s="8" t="s">
        <v>1089</v>
      </c>
      <c r="B113" s="8" t="s">
        <v>1069</v>
      </c>
      <c r="C113" s="8" t="s">
        <v>1070</v>
      </c>
      <c r="D113" s="8" t="s">
        <v>1090</v>
      </c>
      <c r="E113" s="8" t="s">
        <v>1085</v>
      </c>
      <c r="F113" s="8" t="s">
        <v>1091</v>
      </c>
      <c r="G113" s="8" t="s">
        <v>102</v>
      </c>
      <c r="H113" s="8" t="s">
        <v>1092</v>
      </c>
      <c r="I113" s="8" t="s">
        <v>71</v>
      </c>
      <c r="J113" s="8" t="s">
        <v>73</v>
      </c>
      <c r="K113" s="12" t="s">
        <v>81</v>
      </c>
      <c r="L113" s="8"/>
      <c r="M113" s="12" t="s">
        <v>1093</v>
      </c>
    </row>
    <row r="114" ht="15.75" hidden="1" customHeight="1">
      <c r="A114" s="8" t="s">
        <v>1094</v>
      </c>
      <c r="B114" s="8" t="s">
        <v>1069</v>
      </c>
      <c r="C114" s="8" t="s">
        <v>1070</v>
      </c>
      <c r="D114" s="8" t="s">
        <v>1095</v>
      </c>
      <c r="E114" s="8" t="s">
        <v>1085</v>
      </c>
      <c r="F114" s="8" t="s">
        <v>1096</v>
      </c>
      <c r="G114" s="8" t="s">
        <v>102</v>
      </c>
      <c r="H114" s="8" t="s">
        <v>1097</v>
      </c>
      <c r="I114" s="8" t="s">
        <v>105</v>
      </c>
      <c r="J114" s="8" t="s">
        <v>73</v>
      </c>
      <c r="K114" s="12" t="s">
        <v>81</v>
      </c>
      <c r="L114" s="8"/>
      <c r="M114" s="12" t="s">
        <v>1098</v>
      </c>
    </row>
    <row r="115" ht="15.75" hidden="1" customHeight="1">
      <c r="A115" s="8" t="s">
        <v>1099</v>
      </c>
      <c r="B115" s="8" t="s">
        <v>1069</v>
      </c>
      <c r="C115" s="8" t="s">
        <v>1070</v>
      </c>
      <c r="D115" s="8" t="s">
        <v>1100</v>
      </c>
      <c r="E115" s="8" t="s">
        <v>1085</v>
      </c>
      <c r="F115" s="8" t="s">
        <v>1101</v>
      </c>
      <c r="G115" s="8" t="s">
        <v>102</v>
      </c>
      <c r="H115" s="8" t="s">
        <v>1102</v>
      </c>
      <c r="I115" s="8" t="s">
        <v>105</v>
      </c>
      <c r="J115" s="8" t="s">
        <v>73</v>
      </c>
      <c r="K115" s="12" t="s">
        <v>81</v>
      </c>
      <c r="L115" s="8"/>
      <c r="M115" s="12" t="s">
        <v>1103</v>
      </c>
    </row>
    <row r="116" ht="15.75" hidden="1" customHeight="1">
      <c r="A116" s="8" t="s">
        <v>1104</v>
      </c>
      <c r="B116" s="8" t="s">
        <v>1069</v>
      </c>
      <c r="C116" s="8" t="s">
        <v>1070</v>
      </c>
      <c r="D116" s="8" t="s">
        <v>1105</v>
      </c>
      <c r="E116" s="8" t="s">
        <v>1106</v>
      </c>
      <c r="F116" s="8" t="s">
        <v>1107</v>
      </c>
      <c r="G116" s="8" t="s">
        <v>1108</v>
      </c>
      <c r="H116" s="8" t="s">
        <v>1109</v>
      </c>
      <c r="I116" s="8" t="s">
        <v>105</v>
      </c>
      <c r="J116" s="8" t="s">
        <v>73</v>
      </c>
      <c r="K116" s="12" t="s">
        <v>81</v>
      </c>
      <c r="L116" s="8"/>
      <c r="M116" s="8"/>
    </row>
    <row r="117" ht="15.75" hidden="1" customHeight="1">
      <c r="A117" s="8" t="s">
        <v>1110</v>
      </c>
      <c r="B117" s="8" t="s">
        <v>1069</v>
      </c>
      <c r="C117" s="8" t="s">
        <v>1070</v>
      </c>
      <c r="D117" s="8" t="s">
        <v>1111</v>
      </c>
      <c r="E117" s="8" t="s">
        <v>1077</v>
      </c>
      <c r="F117" s="8" t="s">
        <v>1112</v>
      </c>
      <c r="G117" s="8" t="s">
        <v>102</v>
      </c>
      <c r="H117" s="8" t="s">
        <v>1113</v>
      </c>
      <c r="I117" s="8" t="s">
        <v>71</v>
      </c>
      <c r="J117" s="8" t="s">
        <v>73</v>
      </c>
      <c r="K117" s="12" t="s">
        <v>81</v>
      </c>
      <c r="L117" s="8"/>
      <c r="M117" s="8"/>
    </row>
    <row r="118" ht="15.75" hidden="1" customHeight="1">
      <c r="A118" s="8" t="s">
        <v>1114</v>
      </c>
      <c r="B118" s="8" t="s">
        <v>1069</v>
      </c>
      <c r="C118" s="8" t="s">
        <v>1070</v>
      </c>
      <c r="D118" s="8" t="s">
        <v>1115</v>
      </c>
      <c r="E118" s="8" t="s">
        <v>1116</v>
      </c>
      <c r="F118" s="8" t="s">
        <v>1117</v>
      </c>
      <c r="G118" s="8" t="s">
        <v>102</v>
      </c>
      <c r="H118" s="8" t="s">
        <v>1118</v>
      </c>
      <c r="I118" s="8" t="s">
        <v>168</v>
      </c>
      <c r="J118" s="8" t="s">
        <v>73</v>
      </c>
      <c r="K118" s="12" t="s">
        <v>81</v>
      </c>
      <c r="L118" s="8"/>
      <c r="M118" s="8"/>
    </row>
    <row r="119" ht="15.75" hidden="1" customHeight="1">
      <c r="A119" s="8" t="s">
        <v>1119</v>
      </c>
      <c r="B119" s="8" t="s">
        <v>1069</v>
      </c>
      <c r="C119" s="8" t="s">
        <v>1070</v>
      </c>
      <c r="D119" s="8" t="s">
        <v>1120</v>
      </c>
      <c r="E119" s="8" t="s">
        <v>1121</v>
      </c>
      <c r="F119" s="8" t="s">
        <v>1122</v>
      </c>
      <c r="G119" s="8" t="s">
        <v>102</v>
      </c>
      <c r="H119" s="8" t="s">
        <v>1123</v>
      </c>
      <c r="I119" s="8" t="s">
        <v>105</v>
      </c>
      <c r="J119" s="8" t="s">
        <v>73</v>
      </c>
      <c r="K119" s="12" t="s">
        <v>81</v>
      </c>
      <c r="L119" s="8"/>
      <c r="M119" s="8"/>
    </row>
    <row r="120" ht="15.75" hidden="1" customHeight="1">
      <c r="A120" s="8" t="s">
        <v>1124</v>
      </c>
      <c r="B120" s="8" t="s">
        <v>1069</v>
      </c>
      <c r="C120" s="8" t="s">
        <v>1070</v>
      </c>
      <c r="D120" s="8" t="s">
        <v>1125</v>
      </c>
      <c r="E120" s="8" t="s">
        <v>1121</v>
      </c>
      <c r="F120" s="8" t="s">
        <v>1126</v>
      </c>
      <c r="G120" s="8" t="s">
        <v>102</v>
      </c>
      <c r="H120" s="8" t="s">
        <v>1127</v>
      </c>
      <c r="I120" s="8" t="s">
        <v>105</v>
      </c>
      <c r="J120" s="8" t="s">
        <v>73</v>
      </c>
      <c r="K120" s="12" t="s">
        <v>81</v>
      </c>
      <c r="L120" s="8"/>
      <c r="M120" s="12" t="s">
        <v>1128</v>
      </c>
    </row>
    <row r="121" ht="15.75" hidden="1" customHeight="1">
      <c r="A121" s="8" t="s">
        <v>1129</v>
      </c>
      <c r="B121" s="8" t="s">
        <v>1130</v>
      </c>
      <c r="C121" s="8" t="s">
        <v>1131</v>
      </c>
      <c r="D121" s="8" t="s">
        <v>1132</v>
      </c>
      <c r="E121" s="8" t="s">
        <v>1133</v>
      </c>
      <c r="F121" s="8" t="s">
        <v>1134</v>
      </c>
      <c r="G121" s="8" t="s">
        <v>14</v>
      </c>
      <c r="H121" s="8" t="s">
        <v>1135</v>
      </c>
      <c r="I121" s="8" t="s">
        <v>105</v>
      </c>
      <c r="J121" s="8" t="s">
        <v>73</v>
      </c>
      <c r="K121" s="12" t="s">
        <v>81</v>
      </c>
      <c r="L121" s="8"/>
      <c r="M121" s="8"/>
    </row>
    <row r="122" ht="15.75" hidden="1" customHeight="1">
      <c r="A122" s="6" t="s">
        <v>1136</v>
      </c>
      <c r="B122" s="6" t="s">
        <v>1130</v>
      </c>
      <c r="C122" s="6" t="s">
        <v>1131</v>
      </c>
      <c r="D122" s="6" t="s">
        <v>1137</v>
      </c>
      <c r="E122" s="6" t="s">
        <v>1138</v>
      </c>
      <c r="F122" s="6" t="s">
        <v>1139</v>
      </c>
      <c r="G122" s="6" t="s">
        <v>102</v>
      </c>
      <c r="H122" s="6" t="s">
        <v>1140</v>
      </c>
      <c r="I122" s="6" t="s">
        <v>105</v>
      </c>
      <c r="J122" s="6" t="s">
        <v>73</v>
      </c>
      <c r="K122" s="11" t="s">
        <v>81</v>
      </c>
      <c r="L122" s="6"/>
      <c r="M122" s="6"/>
    </row>
    <row r="123" ht="15.75" hidden="1" customHeight="1">
      <c r="A123" s="8" t="s">
        <v>1141</v>
      </c>
      <c r="B123" s="8" t="s">
        <v>1130</v>
      </c>
      <c r="C123" s="8" t="s">
        <v>1131</v>
      </c>
      <c r="D123" s="8" t="s">
        <v>1142</v>
      </c>
      <c r="E123" s="8" t="s">
        <v>1143</v>
      </c>
      <c r="F123" s="8" t="s">
        <v>1144</v>
      </c>
      <c r="G123" s="8" t="s">
        <v>102</v>
      </c>
      <c r="H123" s="8" t="s">
        <v>1145</v>
      </c>
      <c r="I123" s="8" t="s">
        <v>305</v>
      </c>
      <c r="J123" s="8" t="s">
        <v>73</v>
      </c>
      <c r="K123" s="12" t="s">
        <v>81</v>
      </c>
      <c r="L123" s="8"/>
      <c r="M123" s="8"/>
    </row>
    <row r="124" ht="149.25" hidden="1" customHeight="1">
      <c r="A124" s="8" t="s">
        <v>1146</v>
      </c>
      <c r="B124" s="8" t="s">
        <v>1130</v>
      </c>
      <c r="C124" s="8" t="s">
        <v>1131</v>
      </c>
      <c r="D124" s="8" t="s">
        <v>1147</v>
      </c>
      <c r="E124" s="8" t="s">
        <v>1148</v>
      </c>
      <c r="F124" s="8" t="s">
        <v>1149</v>
      </c>
      <c r="G124" s="8" t="s">
        <v>102</v>
      </c>
      <c r="H124" s="8" t="s">
        <v>1150</v>
      </c>
      <c r="I124" s="8" t="s">
        <v>168</v>
      </c>
      <c r="J124" s="8" t="s">
        <v>73</v>
      </c>
      <c r="K124" s="12" t="s">
        <v>81</v>
      </c>
      <c r="L124" s="12" t="s">
        <v>1151</v>
      </c>
      <c r="M124" s="8"/>
    </row>
    <row r="125" ht="15.75" hidden="1" customHeight="1">
      <c r="A125" s="8" t="s">
        <v>1152</v>
      </c>
      <c r="B125" s="8" t="s">
        <v>1130</v>
      </c>
      <c r="C125" s="8" t="s">
        <v>1131</v>
      </c>
      <c r="D125" s="8" t="s">
        <v>1153</v>
      </c>
      <c r="E125" s="8" t="s">
        <v>537</v>
      </c>
      <c r="F125" s="8" t="s">
        <v>1154</v>
      </c>
      <c r="G125" s="8" t="s">
        <v>102</v>
      </c>
      <c r="H125" s="8" t="s">
        <v>1155</v>
      </c>
      <c r="I125" s="8" t="s">
        <v>105</v>
      </c>
      <c r="J125" s="8" t="s">
        <v>73</v>
      </c>
      <c r="K125" s="12" t="s">
        <v>81</v>
      </c>
      <c r="L125" s="8"/>
      <c r="M125" s="8"/>
    </row>
    <row r="126" ht="15.75" customHeight="1">
      <c r="A126" s="26" t="s">
        <v>1156</v>
      </c>
      <c r="B126" s="26" t="s">
        <v>1130</v>
      </c>
      <c r="C126" s="26" t="s">
        <v>1131</v>
      </c>
      <c r="D126" s="26" t="s">
        <v>1157</v>
      </c>
      <c r="E126" s="26" t="s">
        <v>537</v>
      </c>
      <c r="F126" s="26" t="s">
        <v>1158</v>
      </c>
      <c r="G126" s="26" t="s">
        <v>102</v>
      </c>
      <c r="H126" s="26" t="s">
        <v>1159</v>
      </c>
      <c r="I126" s="26" t="s">
        <v>105</v>
      </c>
      <c r="J126" s="26" t="s">
        <v>73</v>
      </c>
      <c r="K126" s="27" t="s">
        <v>170</v>
      </c>
      <c r="L126" s="26"/>
      <c r="M126" s="26"/>
      <c r="N126" s="24"/>
      <c r="O126" s="24"/>
      <c r="P126" s="24"/>
      <c r="Q126" s="24"/>
      <c r="R126" s="24"/>
      <c r="S126" s="24"/>
      <c r="T126" s="24"/>
      <c r="U126" s="24"/>
      <c r="V126" s="24"/>
      <c r="W126" s="24"/>
      <c r="X126" s="24"/>
      <c r="Y126" s="24"/>
      <c r="Z126" s="24"/>
    </row>
    <row r="127" ht="15.75" hidden="1" customHeight="1">
      <c r="A127" s="8" t="s">
        <v>1160</v>
      </c>
      <c r="B127" s="8" t="s">
        <v>1130</v>
      </c>
      <c r="C127" s="8" t="s">
        <v>1131</v>
      </c>
      <c r="D127" s="8" t="s">
        <v>1161</v>
      </c>
      <c r="E127" s="8" t="s">
        <v>1162</v>
      </c>
      <c r="F127" s="8" t="s">
        <v>1163</v>
      </c>
      <c r="G127" s="8" t="s">
        <v>1164</v>
      </c>
      <c r="H127" s="8" t="s">
        <v>1165</v>
      </c>
      <c r="I127" s="8" t="s">
        <v>168</v>
      </c>
      <c r="J127" s="8" t="s">
        <v>73</v>
      </c>
      <c r="K127" s="12" t="s">
        <v>81</v>
      </c>
      <c r="L127" s="8"/>
      <c r="M127" s="8"/>
    </row>
    <row r="128" ht="15.75" hidden="1" customHeight="1">
      <c r="A128" s="8" t="s">
        <v>1166</v>
      </c>
      <c r="B128" s="8" t="s">
        <v>1130</v>
      </c>
      <c r="C128" s="8" t="s">
        <v>1131</v>
      </c>
      <c r="D128" s="8" t="s">
        <v>1167</v>
      </c>
      <c r="E128" s="8" t="s">
        <v>1162</v>
      </c>
      <c r="F128" s="8" t="s">
        <v>1168</v>
      </c>
      <c r="G128" s="8" t="s">
        <v>102</v>
      </c>
      <c r="H128" s="8" t="s">
        <v>1169</v>
      </c>
      <c r="I128" s="8" t="s">
        <v>105</v>
      </c>
      <c r="J128" s="8" t="s">
        <v>73</v>
      </c>
      <c r="K128" s="12" t="s">
        <v>81</v>
      </c>
      <c r="L128" s="8"/>
      <c r="M128" s="8"/>
    </row>
    <row r="129" ht="15.75" hidden="1" customHeight="1">
      <c r="A129" s="8" t="s">
        <v>1170</v>
      </c>
      <c r="B129" s="8" t="s">
        <v>1130</v>
      </c>
      <c r="C129" s="8" t="s">
        <v>1131</v>
      </c>
      <c r="D129" s="8" t="s">
        <v>1171</v>
      </c>
      <c r="E129" s="8" t="s">
        <v>1172</v>
      </c>
      <c r="F129" s="8" t="s">
        <v>1173</v>
      </c>
      <c r="G129" s="8" t="s">
        <v>102</v>
      </c>
      <c r="H129" s="8" t="s">
        <v>1174</v>
      </c>
      <c r="I129" s="8" t="s">
        <v>168</v>
      </c>
      <c r="J129" s="8" t="s">
        <v>169</v>
      </c>
      <c r="K129" s="12" t="s">
        <v>81</v>
      </c>
      <c r="L129" s="8"/>
      <c r="M129" s="8"/>
    </row>
    <row r="130" ht="15.75" customHeight="1">
      <c r="A130" s="8" t="s">
        <v>1175</v>
      </c>
      <c r="B130" s="8" t="s">
        <v>1130</v>
      </c>
      <c r="C130" s="8" t="s">
        <v>1131</v>
      </c>
      <c r="D130" s="8" t="s">
        <v>1176</v>
      </c>
      <c r="E130" s="8" t="s">
        <v>1177</v>
      </c>
      <c r="F130" s="8" t="s">
        <v>1178</v>
      </c>
      <c r="G130" s="8" t="s">
        <v>102</v>
      </c>
      <c r="H130" s="8" t="s">
        <v>1179</v>
      </c>
      <c r="I130" s="8" t="s">
        <v>168</v>
      </c>
      <c r="J130" s="8" t="s">
        <v>169</v>
      </c>
      <c r="K130" s="8" t="s">
        <v>170</v>
      </c>
      <c r="L130" s="8"/>
      <c r="M130" s="8"/>
    </row>
    <row r="131" ht="15.75" hidden="1" customHeight="1">
      <c r="A131" s="8" t="s">
        <v>1180</v>
      </c>
      <c r="B131" s="8" t="s">
        <v>1130</v>
      </c>
      <c r="C131" s="8" t="s">
        <v>1131</v>
      </c>
      <c r="D131" s="8" t="s">
        <v>1181</v>
      </c>
      <c r="E131" s="8" t="s">
        <v>1182</v>
      </c>
      <c r="F131" s="8" t="s">
        <v>1183</v>
      </c>
      <c r="G131" s="8" t="s">
        <v>102</v>
      </c>
      <c r="H131" s="8" t="s">
        <v>1184</v>
      </c>
      <c r="I131" s="8" t="s">
        <v>105</v>
      </c>
      <c r="J131" s="8" t="s">
        <v>73</v>
      </c>
      <c r="K131" s="12" t="s">
        <v>81</v>
      </c>
      <c r="L131" s="8"/>
      <c r="M131" s="8"/>
    </row>
    <row r="132" ht="15.75" hidden="1" customHeight="1">
      <c r="A132" s="8" t="s">
        <v>1185</v>
      </c>
      <c r="B132" s="8" t="s">
        <v>1130</v>
      </c>
      <c r="C132" s="8" t="s">
        <v>1131</v>
      </c>
      <c r="D132" s="8" t="s">
        <v>1186</v>
      </c>
      <c r="E132" s="8" t="s">
        <v>1187</v>
      </c>
      <c r="F132" s="8" t="s">
        <v>1188</v>
      </c>
      <c r="G132" s="8" t="s">
        <v>102</v>
      </c>
      <c r="H132" s="8" t="s">
        <v>1189</v>
      </c>
      <c r="I132" s="8" t="s">
        <v>71</v>
      </c>
      <c r="J132" s="8" t="s">
        <v>73</v>
      </c>
      <c r="K132" s="12" t="s">
        <v>81</v>
      </c>
      <c r="L132" s="8"/>
      <c r="M132" s="8"/>
    </row>
    <row r="133" ht="15.75" hidden="1" customHeight="1">
      <c r="A133" s="8" t="s">
        <v>1190</v>
      </c>
      <c r="B133" s="8" t="s">
        <v>1130</v>
      </c>
      <c r="C133" s="8" t="s">
        <v>1131</v>
      </c>
      <c r="D133" s="8" t="s">
        <v>1191</v>
      </c>
      <c r="E133" s="8" t="s">
        <v>1192</v>
      </c>
      <c r="F133" s="8" t="s">
        <v>1193</v>
      </c>
      <c r="G133" s="8" t="s">
        <v>102</v>
      </c>
      <c r="H133" s="8" t="s">
        <v>1194</v>
      </c>
      <c r="I133" s="8" t="s">
        <v>168</v>
      </c>
      <c r="J133" s="8" t="s">
        <v>73</v>
      </c>
      <c r="K133" s="12" t="s">
        <v>81</v>
      </c>
      <c r="L133" s="8"/>
      <c r="M133" s="8"/>
    </row>
    <row r="134" ht="15.75" hidden="1" customHeight="1">
      <c r="A134" s="8" t="s">
        <v>1195</v>
      </c>
      <c r="B134" s="8" t="s">
        <v>1130</v>
      </c>
      <c r="C134" s="8" t="s">
        <v>1131</v>
      </c>
      <c r="D134" s="8" t="s">
        <v>1196</v>
      </c>
      <c r="E134" s="8" t="s">
        <v>285</v>
      </c>
      <c r="F134" s="8" t="s">
        <v>1197</v>
      </c>
      <c r="G134" s="8" t="s">
        <v>102</v>
      </c>
      <c r="H134" s="8" t="s">
        <v>1198</v>
      </c>
      <c r="I134" s="8" t="s">
        <v>105</v>
      </c>
      <c r="J134" s="8" t="s">
        <v>73</v>
      </c>
      <c r="K134" s="12" t="s">
        <v>81</v>
      </c>
      <c r="L134" s="8"/>
      <c r="M134" s="8"/>
    </row>
    <row r="135" ht="15.75" customHeight="1">
      <c r="A135" s="8" t="s">
        <v>1199</v>
      </c>
      <c r="B135" s="8" t="s">
        <v>1130</v>
      </c>
      <c r="C135" s="8" t="s">
        <v>1131</v>
      </c>
      <c r="D135" s="8" t="s">
        <v>1200</v>
      </c>
      <c r="E135" s="8" t="s">
        <v>285</v>
      </c>
      <c r="F135" s="8" t="s">
        <v>1201</v>
      </c>
      <c r="G135" s="8" t="s">
        <v>1202</v>
      </c>
      <c r="H135" s="8" t="s">
        <v>1203</v>
      </c>
      <c r="I135" s="8" t="s">
        <v>105</v>
      </c>
      <c r="J135" s="8" t="s">
        <v>73</v>
      </c>
      <c r="K135" s="12" t="s">
        <v>81</v>
      </c>
      <c r="L135" s="8"/>
      <c r="M135" s="8"/>
    </row>
    <row r="136" ht="15.75" customHeight="1">
      <c r="A136" s="8" t="s">
        <v>1204</v>
      </c>
      <c r="B136" s="8" t="s">
        <v>1130</v>
      </c>
      <c r="C136" s="8" t="s">
        <v>1131</v>
      </c>
      <c r="D136" s="8" t="s">
        <v>1205</v>
      </c>
      <c r="E136" s="8" t="s">
        <v>285</v>
      </c>
      <c r="F136" s="8" t="s">
        <v>1206</v>
      </c>
      <c r="G136" s="8" t="s">
        <v>1207</v>
      </c>
      <c r="H136" s="8" t="s">
        <v>1208</v>
      </c>
      <c r="I136" s="8" t="s">
        <v>105</v>
      </c>
      <c r="J136" s="8" t="s">
        <v>73</v>
      </c>
      <c r="K136" s="12" t="s">
        <v>81</v>
      </c>
      <c r="L136" s="8"/>
      <c r="M136" s="8"/>
    </row>
    <row r="137" ht="15.75" customHeight="1">
      <c r="A137" s="8" t="s">
        <v>1209</v>
      </c>
      <c r="B137" s="8" t="s">
        <v>1130</v>
      </c>
      <c r="C137" s="8" t="s">
        <v>1131</v>
      </c>
      <c r="D137" s="8" t="s">
        <v>1210</v>
      </c>
      <c r="E137" s="8" t="s">
        <v>1211</v>
      </c>
      <c r="F137" s="8" t="s">
        <v>1212</v>
      </c>
      <c r="G137" s="8" t="s">
        <v>102</v>
      </c>
      <c r="H137" s="8" t="s">
        <v>1213</v>
      </c>
      <c r="I137" s="8" t="s">
        <v>71</v>
      </c>
      <c r="J137" s="8" t="s">
        <v>73</v>
      </c>
      <c r="K137" s="12" t="s">
        <v>81</v>
      </c>
      <c r="L137" s="8"/>
      <c r="M137" s="8"/>
    </row>
    <row r="138" ht="15.75" customHeight="1">
      <c r="A138" s="8" t="s">
        <v>1214</v>
      </c>
      <c r="B138" s="8" t="s">
        <v>1130</v>
      </c>
      <c r="C138" s="8" t="s">
        <v>1131</v>
      </c>
      <c r="D138" s="8" t="s">
        <v>1215</v>
      </c>
      <c r="E138" s="8" t="s">
        <v>1216</v>
      </c>
      <c r="F138" s="8" t="s">
        <v>1217</v>
      </c>
      <c r="G138" s="8" t="s">
        <v>102</v>
      </c>
      <c r="H138" s="8" t="s">
        <v>869</v>
      </c>
      <c r="I138" s="8" t="s">
        <v>105</v>
      </c>
      <c r="J138" s="8" t="s">
        <v>73</v>
      </c>
      <c r="K138" s="12" t="s">
        <v>81</v>
      </c>
      <c r="L138" s="8"/>
      <c r="M138" s="8"/>
    </row>
    <row r="139" ht="15.75" hidden="1" customHeight="1">
      <c r="A139" s="8" t="s">
        <v>1218</v>
      </c>
      <c r="B139" s="8" t="s">
        <v>1130</v>
      </c>
      <c r="C139" s="8" t="s">
        <v>1131</v>
      </c>
      <c r="D139" s="8" t="s">
        <v>1219</v>
      </c>
      <c r="E139" s="8" t="s">
        <v>1220</v>
      </c>
      <c r="F139" s="8" t="s">
        <v>1221</v>
      </c>
      <c r="G139" s="8" t="s">
        <v>102</v>
      </c>
      <c r="H139" s="8" t="s">
        <v>1222</v>
      </c>
      <c r="I139" s="8" t="s">
        <v>71</v>
      </c>
      <c r="J139" s="8" t="s">
        <v>73</v>
      </c>
      <c r="K139" s="12" t="s">
        <v>81</v>
      </c>
      <c r="L139" s="8"/>
      <c r="M139" s="8"/>
    </row>
    <row r="140" ht="15.75" hidden="1" customHeight="1">
      <c r="A140" s="8" t="s">
        <v>1223</v>
      </c>
      <c r="B140" s="8" t="s">
        <v>1130</v>
      </c>
      <c r="C140" s="8" t="s">
        <v>1131</v>
      </c>
      <c r="D140" s="8" t="s">
        <v>1224</v>
      </c>
      <c r="E140" s="8" t="s">
        <v>1192</v>
      </c>
      <c r="F140" s="8" t="s">
        <v>1225</v>
      </c>
      <c r="G140" s="8" t="s">
        <v>102</v>
      </c>
      <c r="H140" s="8" t="s">
        <v>1226</v>
      </c>
      <c r="I140" s="8" t="s">
        <v>105</v>
      </c>
      <c r="J140" s="8" t="s">
        <v>73</v>
      </c>
      <c r="K140" s="12" t="s">
        <v>81</v>
      </c>
      <c r="L140" s="8"/>
      <c r="M140" s="8"/>
    </row>
    <row r="141" ht="15.75" customHeight="1">
      <c r="A141" s="8" t="s">
        <v>1227</v>
      </c>
      <c r="B141" s="8" t="s">
        <v>1130</v>
      </c>
      <c r="C141" s="8" t="s">
        <v>1131</v>
      </c>
      <c r="D141" s="8" t="s">
        <v>1228</v>
      </c>
      <c r="E141" s="8" t="s">
        <v>1229</v>
      </c>
      <c r="F141" s="8" t="s">
        <v>1230</v>
      </c>
      <c r="G141" s="8" t="s">
        <v>102</v>
      </c>
      <c r="H141" s="8" t="s">
        <v>1231</v>
      </c>
      <c r="I141" s="8" t="s">
        <v>105</v>
      </c>
      <c r="J141" s="8" t="s">
        <v>73</v>
      </c>
      <c r="K141" s="12" t="s">
        <v>170</v>
      </c>
      <c r="L141" s="8"/>
      <c r="M141" s="8"/>
    </row>
    <row r="142" ht="15.75" customHeight="1">
      <c r="A142" s="8" t="s">
        <v>1232</v>
      </c>
      <c r="B142" s="8" t="s">
        <v>1130</v>
      </c>
      <c r="C142" s="8" t="s">
        <v>1131</v>
      </c>
      <c r="D142" s="8" t="s">
        <v>1233</v>
      </c>
      <c r="E142" s="8" t="s">
        <v>1234</v>
      </c>
      <c r="F142" s="8" t="s">
        <v>1158</v>
      </c>
      <c r="G142" s="8" t="s">
        <v>102</v>
      </c>
      <c r="H142" s="8" t="s">
        <v>1235</v>
      </c>
      <c r="I142" s="8" t="s">
        <v>105</v>
      </c>
      <c r="J142" s="8" t="s">
        <v>73</v>
      </c>
      <c r="K142" s="8" t="s">
        <v>170</v>
      </c>
      <c r="L142" s="8"/>
      <c r="M142" s="8"/>
    </row>
    <row r="143" ht="15.0" hidden="1" customHeight="1">
      <c r="A143" s="8" t="s">
        <v>1236</v>
      </c>
      <c r="B143" s="8" t="s">
        <v>1130</v>
      </c>
      <c r="C143" s="8" t="s">
        <v>1131</v>
      </c>
      <c r="D143" s="8" t="s">
        <v>1237</v>
      </c>
      <c r="E143" s="8" t="s">
        <v>1238</v>
      </c>
      <c r="F143" s="8" t="s">
        <v>610</v>
      </c>
      <c r="G143" s="8" t="s">
        <v>102</v>
      </c>
      <c r="H143" s="8" t="s">
        <v>1239</v>
      </c>
      <c r="I143" s="8" t="s">
        <v>105</v>
      </c>
      <c r="J143" s="8" t="s">
        <v>73</v>
      </c>
      <c r="K143" s="12" t="s">
        <v>81</v>
      </c>
      <c r="L143" s="8"/>
      <c r="M143" s="8"/>
    </row>
    <row r="144" ht="15.75" hidden="1" customHeight="1">
      <c r="A144" s="6" t="s">
        <v>1240</v>
      </c>
      <c r="B144" s="6" t="s">
        <v>1241</v>
      </c>
      <c r="C144" s="6" t="s">
        <v>1242</v>
      </c>
      <c r="D144" s="6" t="s">
        <v>1243</v>
      </c>
      <c r="E144" s="6" t="s">
        <v>218</v>
      </c>
      <c r="F144" s="6" t="s">
        <v>1244</v>
      </c>
      <c r="G144" s="6" t="s">
        <v>102</v>
      </c>
      <c r="H144" s="6" t="s">
        <v>1245</v>
      </c>
      <c r="I144" s="6" t="s">
        <v>105</v>
      </c>
      <c r="J144" s="6" t="s">
        <v>431</v>
      </c>
      <c r="K144" s="11" t="s">
        <v>81</v>
      </c>
      <c r="L144" s="6"/>
      <c r="M144" s="11" t="s">
        <v>1246</v>
      </c>
    </row>
    <row r="145" ht="15.75" hidden="1" customHeight="1">
      <c r="A145" s="8" t="s">
        <v>1247</v>
      </c>
      <c r="B145" s="8" t="s">
        <v>1241</v>
      </c>
      <c r="C145" s="8" t="s">
        <v>1242</v>
      </c>
      <c r="D145" s="8" t="s">
        <v>1248</v>
      </c>
      <c r="E145" s="8" t="s">
        <v>218</v>
      </c>
      <c r="F145" s="8" t="s">
        <v>1249</v>
      </c>
      <c r="G145" s="8" t="s">
        <v>102</v>
      </c>
      <c r="H145" s="8" t="s">
        <v>1250</v>
      </c>
      <c r="I145" s="8" t="s">
        <v>71</v>
      </c>
      <c r="J145" s="8" t="s">
        <v>431</v>
      </c>
      <c r="K145" s="12" t="s">
        <v>81</v>
      </c>
      <c r="L145" s="8"/>
      <c r="M145" s="8"/>
    </row>
    <row r="146" ht="15.75" hidden="1" customHeight="1">
      <c r="A146" s="6" t="s">
        <v>1251</v>
      </c>
      <c r="B146" s="6" t="s">
        <v>1241</v>
      </c>
      <c r="C146" s="6" t="s">
        <v>1242</v>
      </c>
      <c r="D146" s="6" t="s">
        <v>1252</v>
      </c>
      <c r="E146" s="6" t="s">
        <v>218</v>
      </c>
      <c r="F146" s="6" t="s">
        <v>1253</v>
      </c>
      <c r="G146" s="6" t="s">
        <v>102</v>
      </c>
      <c r="H146" s="6" t="s">
        <v>1254</v>
      </c>
      <c r="I146" s="6" t="s">
        <v>105</v>
      </c>
      <c r="J146" s="6" t="s">
        <v>431</v>
      </c>
      <c r="K146" s="11" t="s">
        <v>81</v>
      </c>
      <c r="L146" s="6"/>
      <c r="M146" s="6"/>
    </row>
    <row r="147" ht="15.75" hidden="1" customHeight="1">
      <c r="A147" s="8" t="s">
        <v>1255</v>
      </c>
      <c r="B147" s="8" t="s">
        <v>1241</v>
      </c>
      <c r="C147" s="8" t="s">
        <v>1242</v>
      </c>
      <c r="D147" s="8" t="s">
        <v>1256</v>
      </c>
      <c r="E147" s="8" t="s">
        <v>1257</v>
      </c>
      <c r="F147" s="8" t="s">
        <v>1258</v>
      </c>
      <c r="G147" s="8" t="s">
        <v>102</v>
      </c>
      <c r="H147" s="8" t="s">
        <v>1259</v>
      </c>
      <c r="I147" s="8" t="s">
        <v>105</v>
      </c>
      <c r="J147" s="8" t="s">
        <v>73</v>
      </c>
      <c r="K147" s="12" t="s">
        <v>81</v>
      </c>
      <c r="L147" s="8"/>
      <c r="M147" s="12" t="s">
        <v>1260</v>
      </c>
    </row>
    <row r="148" ht="15.75" hidden="1" customHeight="1">
      <c r="A148" s="8" t="s">
        <v>1261</v>
      </c>
      <c r="B148" s="8" t="s">
        <v>1241</v>
      </c>
      <c r="C148" s="8" t="s">
        <v>1242</v>
      </c>
      <c r="D148" s="8" t="s">
        <v>1262</v>
      </c>
      <c r="E148" s="8" t="s">
        <v>1263</v>
      </c>
      <c r="F148" s="8" t="s">
        <v>1264</v>
      </c>
      <c r="G148" s="8" t="s">
        <v>102</v>
      </c>
      <c r="H148" s="8" t="s">
        <v>1265</v>
      </c>
      <c r="I148" s="8" t="s">
        <v>105</v>
      </c>
      <c r="J148" s="8" t="s">
        <v>73</v>
      </c>
      <c r="K148" s="12" t="s">
        <v>81</v>
      </c>
      <c r="L148" s="8"/>
      <c r="M148" s="12" t="s">
        <v>1266</v>
      </c>
    </row>
    <row r="149" ht="15.75" hidden="1" customHeight="1">
      <c r="A149" s="8" t="s">
        <v>1267</v>
      </c>
      <c r="B149" s="8" t="s">
        <v>1241</v>
      </c>
      <c r="C149" s="8" t="s">
        <v>1242</v>
      </c>
      <c r="D149" s="8" t="s">
        <v>1268</v>
      </c>
      <c r="E149" s="8" t="s">
        <v>1269</v>
      </c>
      <c r="F149" s="8" t="s">
        <v>1270</v>
      </c>
      <c r="G149" s="8" t="s">
        <v>102</v>
      </c>
      <c r="H149" s="8" t="s">
        <v>1271</v>
      </c>
      <c r="I149" s="8" t="s">
        <v>71</v>
      </c>
      <c r="J149" s="8" t="s">
        <v>431</v>
      </c>
      <c r="K149" s="12" t="s">
        <v>81</v>
      </c>
      <c r="L149" s="8"/>
      <c r="M149" s="8"/>
    </row>
    <row r="150" ht="15.75" hidden="1" customHeight="1">
      <c r="A150" s="6" t="s">
        <v>1272</v>
      </c>
      <c r="B150" s="6" t="s">
        <v>1241</v>
      </c>
      <c r="C150" s="6" t="s">
        <v>1242</v>
      </c>
      <c r="D150" s="6" t="s">
        <v>1273</v>
      </c>
      <c r="E150" s="6" t="s">
        <v>218</v>
      </c>
      <c r="F150" s="6" t="s">
        <v>1274</v>
      </c>
      <c r="G150" s="6" t="s">
        <v>102</v>
      </c>
      <c r="H150" s="6" t="s">
        <v>1275</v>
      </c>
      <c r="I150" s="6" t="s">
        <v>105</v>
      </c>
      <c r="J150" s="6" t="s">
        <v>431</v>
      </c>
      <c r="K150" s="11" t="s">
        <v>81</v>
      </c>
      <c r="L150" s="6"/>
      <c r="M150" s="6"/>
    </row>
    <row r="151" ht="15.75" hidden="1" customHeight="1">
      <c r="A151" s="8" t="s">
        <v>1276</v>
      </c>
      <c r="B151" s="8" t="s">
        <v>1241</v>
      </c>
      <c r="C151" s="8" t="s">
        <v>1242</v>
      </c>
      <c r="D151" s="8" t="s">
        <v>1277</v>
      </c>
      <c r="E151" s="8" t="s">
        <v>1278</v>
      </c>
      <c r="F151" s="8" t="s">
        <v>1279</v>
      </c>
      <c r="G151" s="8" t="s">
        <v>102</v>
      </c>
      <c r="H151" s="8" t="s">
        <v>1280</v>
      </c>
      <c r="I151" s="8" t="s">
        <v>71</v>
      </c>
      <c r="J151" s="8" t="s">
        <v>431</v>
      </c>
      <c r="K151" s="12" t="s">
        <v>81</v>
      </c>
      <c r="L151" s="8"/>
      <c r="M151" s="8"/>
    </row>
    <row r="152" ht="15.75" hidden="1" customHeight="1">
      <c r="A152" s="6" t="s">
        <v>1281</v>
      </c>
      <c r="B152" s="6" t="s">
        <v>1241</v>
      </c>
      <c r="C152" s="6" t="s">
        <v>1242</v>
      </c>
      <c r="D152" s="6" t="s">
        <v>1282</v>
      </c>
      <c r="E152" s="6" t="s">
        <v>1283</v>
      </c>
      <c r="F152" s="6" t="s">
        <v>1284</v>
      </c>
      <c r="G152" s="6" t="s">
        <v>102</v>
      </c>
      <c r="H152" s="6" t="s">
        <v>1285</v>
      </c>
      <c r="I152" s="6" t="s">
        <v>305</v>
      </c>
      <c r="J152" s="6" t="s">
        <v>431</v>
      </c>
      <c r="K152" s="11" t="s">
        <v>81</v>
      </c>
      <c r="L152" s="6"/>
      <c r="M152" s="11" t="s">
        <v>1286</v>
      </c>
    </row>
    <row r="153" ht="15.75" hidden="1" customHeight="1">
      <c r="A153" s="8" t="s">
        <v>1287</v>
      </c>
      <c r="B153" s="8" t="s">
        <v>1241</v>
      </c>
      <c r="C153" s="8" t="s">
        <v>1242</v>
      </c>
      <c r="D153" s="8" t="s">
        <v>1288</v>
      </c>
      <c r="E153" s="8" t="s">
        <v>1289</v>
      </c>
      <c r="F153" s="8" t="s">
        <v>1290</v>
      </c>
      <c r="G153" s="8" t="s">
        <v>102</v>
      </c>
      <c r="H153" s="8" t="s">
        <v>1291</v>
      </c>
      <c r="I153" s="8" t="s">
        <v>105</v>
      </c>
      <c r="J153" s="8" t="s">
        <v>431</v>
      </c>
      <c r="K153" s="12" t="s">
        <v>81</v>
      </c>
      <c r="L153" s="8"/>
      <c r="M153" s="11" t="s">
        <v>1286</v>
      </c>
    </row>
    <row r="154" ht="15.75" hidden="1" customHeight="1">
      <c r="A154" s="6" t="s">
        <v>1292</v>
      </c>
      <c r="B154" s="6" t="s">
        <v>1241</v>
      </c>
      <c r="C154" s="6" t="s">
        <v>1242</v>
      </c>
      <c r="D154" s="6" t="s">
        <v>1293</v>
      </c>
      <c r="E154" s="6" t="s">
        <v>1294</v>
      </c>
      <c r="F154" s="6" t="s">
        <v>1290</v>
      </c>
      <c r="G154" s="6" t="s">
        <v>1295</v>
      </c>
      <c r="H154" s="6" t="s">
        <v>1296</v>
      </c>
      <c r="I154" s="6" t="s">
        <v>105</v>
      </c>
      <c r="J154" s="6" t="s">
        <v>431</v>
      </c>
      <c r="K154" s="11" t="s">
        <v>81</v>
      </c>
      <c r="L154" s="6"/>
      <c r="M154" s="6"/>
    </row>
    <row r="155" ht="15.75" hidden="1" customHeight="1">
      <c r="A155" s="8" t="s">
        <v>1297</v>
      </c>
      <c r="B155" s="8" t="s">
        <v>1241</v>
      </c>
      <c r="C155" s="8" t="s">
        <v>1242</v>
      </c>
      <c r="D155" s="8" t="s">
        <v>1298</v>
      </c>
      <c r="E155" s="8" t="s">
        <v>218</v>
      </c>
      <c r="F155" s="8" t="s">
        <v>1299</v>
      </c>
      <c r="G155" s="8" t="s">
        <v>102</v>
      </c>
      <c r="H155" s="8" t="s">
        <v>1300</v>
      </c>
      <c r="I155" s="8" t="s">
        <v>71</v>
      </c>
      <c r="J155" s="8" t="s">
        <v>431</v>
      </c>
      <c r="K155" s="12" t="s">
        <v>163</v>
      </c>
      <c r="L155" s="8"/>
      <c r="M155" s="12" t="s">
        <v>1301</v>
      </c>
    </row>
    <row r="156" ht="15.75" hidden="1" customHeight="1">
      <c r="A156" s="6" t="s">
        <v>1302</v>
      </c>
      <c r="B156" s="6" t="s">
        <v>1241</v>
      </c>
      <c r="C156" s="6" t="s">
        <v>1242</v>
      </c>
      <c r="D156" s="6" t="s">
        <v>1303</v>
      </c>
      <c r="E156" s="6" t="s">
        <v>218</v>
      </c>
      <c r="F156" s="6" t="s">
        <v>1304</v>
      </c>
      <c r="G156" s="6" t="s">
        <v>102</v>
      </c>
      <c r="H156" s="6" t="s">
        <v>1305</v>
      </c>
      <c r="I156" s="6" t="s">
        <v>71</v>
      </c>
      <c r="J156" s="6" t="s">
        <v>431</v>
      </c>
      <c r="K156" s="11" t="s">
        <v>81</v>
      </c>
      <c r="L156" s="6"/>
      <c r="M156" s="6"/>
    </row>
    <row r="157" ht="15.75" hidden="1" customHeight="1">
      <c r="A157" s="8" t="s">
        <v>1306</v>
      </c>
      <c r="B157" s="8" t="s">
        <v>1241</v>
      </c>
      <c r="C157" s="8" t="s">
        <v>1242</v>
      </c>
      <c r="D157" s="8" t="s">
        <v>1307</v>
      </c>
      <c r="E157" s="8" t="s">
        <v>218</v>
      </c>
      <c r="F157" s="8" t="s">
        <v>1308</v>
      </c>
      <c r="G157" s="8" t="s">
        <v>102</v>
      </c>
      <c r="H157" s="8" t="s">
        <v>1309</v>
      </c>
      <c r="I157" s="8" t="s">
        <v>71</v>
      </c>
      <c r="J157" s="8" t="s">
        <v>431</v>
      </c>
      <c r="K157" s="12" t="s">
        <v>81</v>
      </c>
      <c r="L157" s="8"/>
      <c r="M157" s="8"/>
    </row>
    <row r="158" ht="15.75" hidden="1" customHeight="1">
      <c r="A158" s="8" t="s">
        <v>1310</v>
      </c>
      <c r="B158" s="8" t="s">
        <v>1241</v>
      </c>
      <c r="C158" s="8" t="s">
        <v>1242</v>
      </c>
      <c r="D158" s="8" t="s">
        <v>1311</v>
      </c>
      <c r="E158" s="8" t="s">
        <v>1312</v>
      </c>
      <c r="F158" s="8" t="s">
        <v>1313</v>
      </c>
      <c r="G158" s="8" t="s">
        <v>1314</v>
      </c>
      <c r="H158" s="8" t="s">
        <v>1315</v>
      </c>
      <c r="I158" s="8" t="s">
        <v>105</v>
      </c>
      <c r="J158" s="8" t="s">
        <v>431</v>
      </c>
      <c r="K158" s="12" t="s">
        <v>81</v>
      </c>
      <c r="L158" s="8"/>
      <c r="M158" s="12" t="s">
        <v>1316</v>
      </c>
    </row>
    <row r="159" ht="15.75" hidden="1" customHeight="1">
      <c r="A159" s="8" t="s">
        <v>1317</v>
      </c>
      <c r="B159" s="8" t="s">
        <v>1241</v>
      </c>
      <c r="C159" s="8" t="s">
        <v>1242</v>
      </c>
      <c r="D159" s="8" t="s">
        <v>1318</v>
      </c>
      <c r="E159" s="8" t="s">
        <v>1319</v>
      </c>
      <c r="F159" s="8" t="s">
        <v>1320</v>
      </c>
      <c r="G159" s="8" t="s">
        <v>102</v>
      </c>
      <c r="H159" s="8" t="s">
        <v>1321</v>
      </c>
      <c r="I159" s="8" t="s">
        <v>71</v>
      </c>
      <c r="J159" s="8" t="s">
        <v>431</v>
      </c>
      <c r="K159" s="12" t="s">
        <v>81</v>
      </c>
      <c r="L159" s="8"/>
      <c r="M159" s="27" t="s">
        <v>1322</v>
      </c>
    </row>
    <row r="160" ht="15.75" hidden="1" customHeight="1">
      <c r="A160" s="6" t="s">
        <v>1323</v>
      </c>
      <c r="B160" s="6" t="s">
        <v>1241</v>
      </c>
      <c r="C160" s="6" t="s">
        <v>1242</v>
      </c>
      <c r="D160" s="6" t="s">
        <v>1324</v>
      </c>
      <c r="E160" s="6" t="s">
        <v>218</v>
      </c>
      <c r="F160" s="6" t="s">
        <v>1325</v>
      </c>
      <c r="G160" s="6" t="s">
        <v>102</v>
      </c>
      <c r="H160" s="6" t="s">
        <v>1326</v>
      </c>
      <c r="I160" s="6" t="s">
        <v>105</v>
      </c>
      <c r="J160" s="6" t="s">
        <v>73</v>
      </c>
      <c r="K160" s="11" t="s">
        <v>81</v>
      </c>
      <c r="L160" s="6"/>
      <c r="M160" s="6"/>
    </row>
    <row r="161" ht="15.75" hidden="1" customHeight="1">
      <c r="A161" s="8" t="s">
        <v>1327</v>
      </c>
      <c r="B161" s="8" t="s">
        <v>1241</v>
      </c>
      <c r="C161" s="8" t="s">
        <v>1242</v>
      </c>
      <c r="D161" s="8" t="s">
        <v>1328</v>
      </c>
      <c r="E161" s="8" t="s">
        <v>1329</v>
      </c>
      <c r="F161" s="8" t="s">
        <v>1330</v>
      </c>
      <c r="G161" s="8" t="s">
        <v>102</v>
      </c>
      <c r="H161" s="8" t="s">
        <v>1331</v>
      </c>
      <c r="I161" s="8" t="s">
        <v>105</v>
      </c>
      <c r="J161" s="8" t="s">
        <v>73</v>
      </c>
      <c r="K161" s="12" t="s">
        <v>81</v>
      </c>
      <c r="L161" s="8"/>
      <c r="M161" s="12" t="s">
        <v>1332</v>
      </c>
    </row>
    <row r="162" ht="15.75" hidden="1" customHeight="1">
      <c r="A162" s="6" t="s">
        <v>1333</v>
      </c>
      <c r="B162" s="6" t="s">
        <v>1241</v>
      </c>
      <c r="C162" s="6" t="s">
        <v>1242</v>
      </c>
      <c r="D162" s="6" t="s">
        <v>1334</v>
      </c>
      <c r="E162" s="6" t="s">
        <v>1335</v>
      </c>
      <c r="F162" s="6" t="s">
        <v>610</v>
      </c>
      <c r="G162" s="6" t="s">
        <v>102</v>
      </c>
      <c r="H162" s="6" t="s">
        <v>1336</v>
      </c>
      <c r="I162" s="6" t="s">
        <v>71</v>
      </c>
      <c r="J162" s="6" t="s">
        <v>73</v>
      </c>
      <c r="K162" s="11" t="s">
        <v>163</v>
      </c>
      <c r="L162" s="6"/>
      <c r="M162" s="6"/>
    </row>
    <row r="163" ht="15.75" hidden="1" customHeight="1">
      <c r="A163" s="8" t="s">
        <v>1337</v>
      </c>
      <c r="B163" s="8" t="s">
        <v>1338</v>
      </c>
      <c r="C163" s="8" t="s">
        <v>1339</v>
      </c>
      <c r="D163" s="8" t="s">
        <v>1340</v>
      </c>
      <c r="E163" s="8" t="s">
        <v>1341</v>
      </c>
      <c r="F163" s="8" t="s">
        <v>1342</v>
      </c>
      <c r="G163" s="8" t="s">
        <v>102</v>
      </c>
      <c r="H163" s="8" t="s">
        <v>1343</v>
      </c>
      <c r="I163" s="8" t="s">
        <v>71</v>
      </c>
      <c r="J163" s="8" t="s">
        <v>73</v>
      </c>
      <c r="K163" s="12" t="s">
        <v>81</v>
      </c>
      <c r="L163" s="8"/>
      <c r="M163" s="8"/>
    </row>
    <row r="164" ht="15.75" hidden="1" customHeight="1">
      <c r="A164" s="6" t="s">
        <v>1344</v>
      </c>
      <c r="B164" s="6" t="s">
        <v>1338</v>
      </c>
      <c r="C164" s="6" t="s">
        <v>1339</v>
      </c>
      <c r="D164" s="6" t="s">
        <v>1345</v>
      </c>
      <c r="E164" s="6" t="s">
        <v>984</v>
      </c>
      <c r="F164" s="6" t="s">
        <v>1346</v>
      </c>
      <c r="G164" s="6" t="s">
        <v>102</v>
      </c>
      <c r="H164" s="6" t="s">
        <v>986</v>
      </c>
      <c r="I164" s="6" t="s">
        <v>71</v>
      </c>
      <c r="J164" s="6" t="s">
        <v>73</v>
      </c>
      <c r="K164" s="11" t="s">
        <v>81</v>
      </c>
      <c r="L164" s="6"/>
      <c r="M164" s="6"/>
    </row>
    <row r="165" ht="15.75" hidden="1" customHeight="1">
      <c r="A165" s="8" t="s">
        <v>1347</v>
      </c>
      <c r="B165" s="8" t="s">
        <v>1338</v>
      </c>
      <c r="C165" s="8" t="s">
        <v>1339</v>
      </c>
      <c r="D165" s="8" t="s">
        <v>1348</v>
      </c>
      <c r="E165" s="8" t="s">
        <v>1349</v>
      </c>
      <c r="F165" s="8" t="s">
        <v>1350</v>
      </c>
      <c r="G165" s="8" t="s">
        <v>102</v>
      </c>
      <c r="H165" s="8" t="s">
        <v>1351</v>
      </c>
      <c r="I165" s="8" t="s">
        <v>105</v>
      </c>
      <c r="J165" s="8" t="s">
        <v>73</v>
      </c>
      <c r="K165" s="12" t="s">
        <v>81</v>
      </c>
      <c r="L165" s="8"/>
      <c r="M165" s="8"/>
    </row>
    <row r="166" ht="15.75" hidden="1" customHeight="1">
      <c r="A166" s="6" t="s">
        <v>1352</v>
      </c>
      <c r="B166" s="6" t="s">
        <v>1338</v>
      </c>
      <c r="C166" s="6" t="s">
        <v>1339</v>
      </c>
      <c r="D166" s="6" t="s">
        <v>1353</v>
      </c>
      <c r="E166" s="6" t="s">
        <v>1349</v>
      </c>
      <c r="F166" s="6" t="s">
        <v>1354</v>
      </c>
      <c r="G166" s="6" t="s">
        <v>102</v>
      </c>
      <c r="H166" s="6" t="s">
        <v>869</v>
      </c>
      <c r="I166" s="6" t="s">
        <v>105</v>
      </c>
      <c r="J166" s="6" t="s">
        <v>73</v>
      </c>
      <c r="K166" s="11" t="s">
        <v>81</v>
      </c>
      <c r="L166" s="6"/>
      <c r="M166" s="6"/>
    </row>
    <row r="167" ht="15.75" hidden="1" customHeight="1">
      <c r="A167" s="8" t="s">
        <v>1355</v>
      </c>
      <c r="B167" s="8" t="s">
        <v>1338</v>
      </c>
      <c r="C167" s="8" t="s">
        <v>1339</v>
      </c>
      <c r="D167" s="8" t="s">
        <v>1356</v>
      </c>
      <c r="E167" s="8" t="s">
        <v>1357</v>
      </c>
      <c r="F167" s="8" t="s">
        <v>1358</v>
      </c>
      <c r="G167" s="8" t="s">
        <v>102</v>
      </c>
      <c r="H167" s="8" t="s">
        <v>1359</v>
      </c>
      <c r="I167" s="8" t="s">
        <v>71</v>
      </c>
      <c r="J167" s="8" t="s">
        <v>73</v>
      </c>
      <c r="K167" s="12" t="s">
        <v>81</v>
      </c>
      <c r="L167" s="8"/>
      <c r="M167" s="8"/>
    </row>
    <row r="168" ht="15.75" hidden="1" customHeight="1">
      <c r="A168" s="6" t="s">
        <v>1360</v>
      </c>
      <c r="B168" s="6" t="s">
        <v>1338</v>
      </c>
      <c r="C168" s="6" t="s">
        <v>1339</v>
      </c>
      <c r="D168" s="6" t="s">
        <v>1361</v>
      </c>
      <c r="E168" s="6" t="s">
        <v>1357</v>
      </c>
      <c r="F168" s="6" t="s">
        <v>1362</v>
      </c>
      <c r="G168" s="6" t="s">
        <v>102</v>
      </c>
      <c r="H168" s="6" t="s">
        <v>1363</v>
      </c>
      <c r="I168" s="6" t="s">
        <v>71</v>
      </c>
      <c r="J168" s="8" t="s">
        <v>73</v>
      </c>
      <c r="K168" s="12" t="s">
        <v>81</v>
      </c>
      <c r="L168" s="6"/>
      <c r="M168" s="6"/>
    </row>
    <row r="169" ht="15.75" hidden="1" customHeight="1">
      <c r="A169" s="8" t="s">
        <v>1364</v>
      </c>
      <c r="B169" s="8" t="s">
        <v>1338</v>
      </c>
      <c r="C169" s="8" t="s">
        <v>1339</v>
      </c>
      <c r="D169" s="8" t="s">
        <v>1365</v>
      </c>
      <c r="E169" s="8" t="s">
        <v>1349</v>
      </c>
      <c r="F169" s="8" t="s">
        <v>1366</v>
      </c>
      <c r="G169" s="8" t="s">
        <v>102</v>
      </c>
      <c r="H169" s="8" t="s">
        <v>1367</v>
      </c>
      <c r="I169" s="8" t="s">
        <v>105</v>
      </c>
      <c r="J169" s="8" t="s">
        <v>73</v>
      </c>
      <c r="K169" s="12" t="s">
        <v>81</v>
      </c>
      <c r="L169" s="8"/>
      <c r="M169" s="8"/>
    </row>
    <row r="170" ht="15.75" hidden="1" customHeight="1">
      <c r="A170" s="6" t="s">
        <v>1368</v>
      </c>
      <c r="B170" s="6" t="s">
        <v>1338</v>
      </c>
      <c r="C170" s="6" t="s">
        <v>1339</v>
      </c>
      <c r="D170" s="6" t="s">
        <v>1369</v>
      </c>
      <c r="E170" s="6" t="s">
        <v>1370</v>
      </c>
      <c r="F170" s="6" t="s">
        <v>1371</v>
      </c>
      <c r="G170" s="6" t="s">
        <v>102</v>
      </c>
      <c r="H170" s="6" t="s">
        <v>869</v>
      </c>
      <c r="I170" s="6" t="s">
        <v>168</v>
      </c>
      <c r="J170" s="6" t="s">
        <v>73</v>
      </c>
      <c r="K170" s="11" t="s">
        <v>81</v>
      </c>
      <c r="L170" s="6"/>
      <c r="M170" s="6"/>
    </row>
    <row r="171" ht="15.75" hidden="1" customHeight="1">
      <c r="A171" s="8" t="s">
        <v>1372</v>
      </c>
      <c r="B171" s="8" t="s">
        <v>1338</v>
      </c>
      <c r="C171" s="8" t="s">
        <v>1339</v>
      </c>
      <c r="D171" s="8" t="s">
        <v>1373</v>
      </c>
      <c r="E171" s="8" t="s">
        <v>293</v>
      </c>
      <c r="F171" s="8" t="s">
        <v>1374</v>
      </c>
      <c r="G171" s="8" t="s">
        <v>102</v>
      </c>
      <c r="H171" s="8" t="s">
        <v>905</v>
      </c>
      <c r="I171" s="8" t="s">
        <v>105</v>
      </c>
      <c r="J171" s="8" t="s">
        <v>73</v>
      </c>
      <c r="K171" s="12" t="s">
        <v>81</v>
      </c>
      <c r="L171" s="8"/>
      <c r="M171" s="12" t="s">
        <v>1375</v>
      </c>
    </row>
    <row r="172" ht="15.75" hidden="1" customHeight="1">
      <c r="A172" s="6" t="s">
        <v>1376</v>
      </c>
      <c r="B172" s="6" t="s">
        <v>1338</v>
      </c>
      <c r="C172" s="6" t="s">
        <v>1339</v>
      </c>
      <c r="D172" s="6" t="s">
        <v>1377</v>
      </c>
      <c r="E172" s="6" t="s">
        <v>218</v>
      </c>
      <c r="F172" s="6" t="s">
        <v>1378</v>
      </c>
      <c r="G172" s="6" t="s">
        <v>102</v>
      </c>
      <c r="H172" s="6" t="s">
        <v>1379</v>
      </c>
      <c r="I172" s="6" t="s">
        <v>71</v>
      </c>
      <c r="J172" s="6" t="s">
        <v>73</v>
      </c>
      <c r="K172" s="11" t="s">
        <v>81</v>
      </c>
      <c r="L172" s="6"/>
      <c r="M172" s="6"/>
    </row>
    <row r="173" ht="15.75" hidden="1" customHeight="1">
      <c r="A173" s="8" t="s">
        <v>1380</v>
      </c>
      <c r="B173" s="8" t="s">
        <v>1338</v>
      </c>
      <c r="C173" s="8" t="s">
        <v>1339</v>
      </c>
      <c r="D173" s="8" t="s">
        <v>1381</v>
      </c>
      <c r="E173" s="8" t="s">
        <v>1382</v>
      </c>
      <c r="F173" s="8" t="s">
        <v>610</v>
      </c>
      <c r="G173" s="8" t="s">
        <v>102</v>
      </c>
      <c r="H173" s="8" t="s">
        <v>1383</v>
      </c>
      <c r="I173" s="8" t="s">
        <v>71</v>
      </c>
      <c r="J173" s="8" t="s">
        <v>73</v>
      </c>
      <c r="K173" s="12" t="s">
        <v>81</v>
      </c>
      <c r="L173" s="8"/>
      <c r="M173" s="12" t="s">
        <v>1384</v>
      </c>
    </row>
    <row r="174" ht="15.75" hidden="1" customHeight="1">
      <c r="A174" s="6" t="s">
        <v>1385</v>
      </c>
      <c r="B174" s="6" t="s">
        <v>1386</v>
      </c>
      <c r="C174" s="6" t="s">
        <v>1387</v>
      </c>
      <c r="D174" s="6" t="s">
        <v>1388</v>
      </c>
      <c r="E174" s="6" t="s">
        <v>1389</v>
      </c>
      <c r="F174" s="6" t="s">
        <v>1390</v>
      </c>
      <c r="G174" s="6" t="s">
        <v>102</v>
      </c>
      <c r="H174" s="6" t="s">
        <v>1391</v>
      </c>
      <c r="I174" s="6" t="s">
        <v>71</v>
      </c>
      <c r="J174" s="6" t="s">
        <v>73</v>
      </c>
      <c r="K174" s="11" t="s">
        <v>81</v>
      </c>
      <c r="L174" s="6"/>
      <c r="M174" s="6"/>
    </row>
    <row r="175" ht="15.75" customHeight="1">
      <c r="A175" s="26" t="s">
        <v>1392</v>
      </c>
      <c r="B175" s="26" t="s">
        <v>1386</v>
      </c>
      <c r="C175" s="26" t="s">
        <v>1387</v>
      </c>
      <c r="D175" s="26" t="s">
        <v>1393</v>
      </c>
      <c r="E175" s="26" t="s">
        <v>1394</v>
      </c>
      <c r="F175" s="26" t="s">
        <v>610</v>
      </c>
      <c r="G175" s="26" t="s">
        <v>102</v>
      </c>
      <c r="H175" s="26" t="s">
        <v>1395</v>
      </c>
      <c r="I175" s="26" t="s">
        <v>71</v>
      </c>
      <c r="J175" s="26" t="s">
        <v>73</v>
      </c>
      <c r="K175" s="27" t="s">
        <v>961</v>
      </c>
      <c r="L175" s="26"/>
      <c r="M175" s="27" t="s">
        <v>1396</v>
      </c>
      <c r="N175" s="24"/>
      <c r="O175" s="24"/>
      <c r="P175" s="24"/>
      <c r="Q175" s="24"/>
      <c r="R175" s="24"/>
      <c r="S175" s="24"/>
      <c r="T175" s="24"/>
      <c r="U175" s="24"/>
      <c r="V175" s="24"/>
      <c r="W175" s="24"/>
      <c r="X175" s="24"/>
      <c r="Y175" s="24"/>
      <c r="Z175" s="24"/>
    </row>
    <row r="176" ht="15.75" hidden="1" customHeight="1">
      <c r="A176" s="6" t="s">
        <v>1397</v>
      </c>
      <c r="B176" s="6" t="s">
        <v>1398</v>
      </c>
      <c r="C176" s="6" t="s">
        <v>77</v>
      </c>
      <c r="D176" s="6" t="s">
        <v>1399</v>
      </c>
      <c r="E176" s="6" t="s">
        <v>984</v>
      </c>
      <c r="F176" s="6" t="s">
        <v>1400</v>
      </c>
      <c r="G176" s="6" t="s">
        <v>102</v>
      </c>
      <c r="H176" s="6" t="s">
        <v>1401</v>
      </c>
      <c r="I176" s="6" t="s">
        <v>71</v>
      </c>
      <c r="J176" s="6" t="s">
        <v>73</v>
      </c>
      <c r="K176" s="11" t="s">
        <v>81</v>
      </c>
      <c r="L176" s="6"/>
      <c r="M176" s="6"/>
    </row>
    <row r="177" ht="15.75" hidden="1" customHeight="1">
      <c r="A177" s="8" t="s">
        <v>1402</v>
      </c>
      <c r="B177" s="8" t="s">
        <v>1398</v>
      </c>
      <c r="C177" s="8" t="s">
        <v>77</v>
      </c>
      <c r="D177" s="8" t="s">
        <v>1403</v>
      </c>
      <c r="E177" s="8" t="s">
        <v>1404</v>
      </c>
      <c r="F177" s="8" t="s">
        <v>1405</v>
      </c>
      <c r="G177" s="8" t="s">
        <v>102</v>
      </c>
      <c r="H177" s="8" t="s">
        <v>1406</v>
      </c>
      <c r="I177" s="8" t="s">
        <v>71</v>
      </c>
      <c r="J177" s="8" t="s">
        <v>73</v>
      </c>
      <c r="K177" s="12" t="s">
        <v>81</v>
      </c>
      <c r="L177" s="8"/>
      <c r="M177" s="8"/>
    </row>
    <row r="178" ht="15.75" hidden="1" customHeight="1">
      <c r="A178" s="8" t="s">
        <v>1407</v>
      </c>
      <c r="B178" s="8" t="s">
        <v>1398</v>
      </c>
      <c r="C178" s="8" t="s">
        <v>77</v>
      </c>
      <c r="D178" s="8" t="s">
        <v>1408</v>
      </c>
      <c r="E178" s="8" t="s">
        <v>1409</v>
      </c>
      <c r="F178" s="8" t="s">
        <v>1405</v>
      </c>
      <c r="G178" s="8" t="s">
        <v>102</v>
      </c>
      <c r="H178" s="8" t="s">
        <v>1410</v>
      </c>
      <c r="I178" s="8" t="s">
        <v>71</v>
      </c>
      <c r="J178" s="8" t="s">
        <v>73</v>
      </c>
      <c r="K178" s="12" t="s">
        <v>81</v>
      </c>
      <c r="L178" s="8"/>
      <c r="M178" s="8"/>
    </row>
    <row r="179" ht="15.75" hidden="1" customHeight="1">
      <c r="A179" s="8" t="s">
        <v>1411</v>
      </c>
      <c r="B179" s="8" t="s">
        <v>1398</v>
      </c>
      <c r="C179" s="8" t="s">
        <v>77</v>
      </c>
      <c r="D179" s="8" t="s">
        <v>1412</v>
      </c>
      <c r="E179" s="8" t="s">
        <v>1413</v>
      </c>
      <c r="F179" s="8" t="s">
        <v>1405</v>
      </c>
      <c r="G179" s="8" t="s">
        <v>102</v>
      </c>
      <c r="H179" s="8" t="s">
        <v>1414</v>
      </c>
      <c r="I179" s="8" t="s">
        <v>71</v>
      </c>
      <c r="J179" s="8" t="s">
        <v>73</v>
      </c>
      <c r="K179" s="12" t="s">
        <v>81</v>
      </c>
      <c r="L179" s="8"/>
      <c r="M179" s="8"/>
    </row>
    <row r="180" ht="15.75" hidden="1" customHeight="1">
      <c r="A180" s="6" t="s">
        <v>1415</v>
      </c>
      <c r="B180" s="6" t="s">
        <v>1416</v>
      </c>
      <c r="C180" s="6" t="s">
        <v>1417</v>
      </c>
      <c r="D180" s="6" t="s">
        <v>1418</v>
      </c>
      <c r="E180" s="6" t="s">
        <v>1341</v>
      </c>
      <c r="F180" s="6" t="s">
        <v>1419</v>
      </c>
      <c r="G180" s="6" t="s">
        <v>1420</v>
      </c>
      <c r="H180" s="6" t="s">
        <v>1421</v>
      </c>
      <c r="I180" s="6" t="s">
        <v>105</v>
      </c>
      <c r="J180" s="6" t="s">
        <v>73</v>
      </c>
      <c r="K180" s="11" t="s">
        <v>81</v>
      </c>
      <c r="L180" s="6"/>
      <c r="M180" s="6"/>
    </row>
    <row r="181" ht="15.75" hidden="1" customHeight="1">
      <c r="A181" s="8" t="s">
        <v>1422</v>
      </c>
      <c r="B181" s="8" t="s">
        <v>1416</v>
      </c>
      <c r="C181" s="8" t="s">
        <v>1417</v>
      </c>
      <c r="D181" s="8" t="s">
        <v>1423</v>
      </c>
      <c r="E181" s="8" t="s">
        <v>1341</v>
      </c>
      <c r="F181" s="8" t="s">
        <v>1424</v>
      </c>
      <c r="G181" s="8" t="s">
        <v>1420</v>
      </c>
      <c r="H181" s="8" t="s">
        <v>1421</v>
      </c>
      <c r="I181" s="8" t="s">
        <v>105</v>
      </c>
      <c r="J181" s="8" t="s">
        <v>73</v>
      </c>
      <c r="K181" s="12" t="s">
        <v>81</v>
      </c>
      <c r="L181" s="8"/>
      <c r="M181" s="8"/>
    </row>
    <row r="182" ht="15.75" hidden="1" customHeight="1">
      <c r="A182" s="6" t="s">
        <v>1425</v>
      </c>
      <c r="B182" s="6" t="s">
        <v>1416</v>
      </c>
      <c r="C182" s="6" t="s">
        <v>1417</v>
      </c>
      <c r="D182" s="6" t="s">
        <v>1426</v>
      </c>
      <c r="E182" s="6" t="s">
        <v>1427</v>
      </c>
      <c r="F182" s="6" t="s">
        <v>1428</v>
      </c>
      <c r="G182" s="6" t="s">
        <v>1420</v>
      </c>
      <c r="H182" s="6" t="s">
        <v>1429</v>
      </c>
      <c r="I182" s="6" t="s">
        <v>105</v>
      </c>
      <c r="J182" s="6" t="s">
        <v>73</v>
      </c>
      <c r="K182" s="11" t="s">
        <v>81</v>
      </c>
      <c r="L182" s="6"/>
      <c r="M182" s="11" t="s">
        <v>1430</v>
      </c>
    </row>
    <row r="183" ht="15.75" hidden="1" customHeight="1">
      <c r="A183" s="8" t="s">
        <v>1431</v>
      </c>
      <c r="B183" s="8" t="s">
        <v>1416</v>
      </c>
      <c r="C183" s="8" t="s">
        <v>1417</v>
      </c>
      <c r="D183" s="8" t="s">
        <v>1432</v>
      </c>
      <c r="E183" s="8" t="s">
        <v>1427</v>
      </c>
      <c r="F183" s="8" t="s">
        <v>1433</v>
      </c>
      <c r="G183" s="8" t="s">
        <v>1420</v>
      </c>
      <c r="H183" s="8" t="s">
        <v>1434</v>
      </c>
      <c r="I183" s="8" t="s">
        <v>105</v>
      </c>
      <c r="J183" s="8" t="s">
        <v>73</v>
      </c>
      <c r="K183" s="12" t="s">
        <v>81</v>
      </c>
      <c r="L183" s="8"/>
      <c r="M183" s="8"/>
    </row>
    <row r="184" ht="15.75" hidden="1" customHeight="1">
      <c r="A184" s="6" t="s">
        <v>1435</v>
      </c>
      <c r="B184" s="6" t="s">
        <v>1416</v>
      </c>
      <c r="C184" s="6" t="s">
        <v>1417</v>
      </c>
      <c r="D184" s="6" t="s">
        <v>1436</v>
      </c>
      <c r="E184" s="6" t="s">
        <v>218</v>
      </c>
      <c r="F184" s="6" t="s">
        <v>1437</v>
      </c>
      <c r="G184" s="6" t="s">
        <v>102</v>
      </c>
      <c r="H184" s="6" t="s">
        <v>1438</v>
      </c>
      <c r="I184" s="6" t="s">
        <v>105</v>
      </c>
      <c r="J184" s="6" t="s">
        <v>73</v>
      </c>
      <c r="K184" s="11" t="s">
        <v>81</v>
      </c>
      <c r="L184" s="6"/>
      <c r="M184" s="11" t="s">
        <v>1439</v>
      </c>
    </row>
    <row r="185" ht="15.75" hidden="1" customHeight="1">
      <c r="A185" s="8" t="s">
        <v>1440</v>
      </c>
      <c r="B185" s="8" t="s">
        <v>1416</v>
      </c>
      <c r="C185" s="8" t="s">
        <v>1417</v>
      </c>
      <c r="D185" s="8" t="s">
        <v>1441</v>
      </c>
      <c r="E185" s="8" t="s">
        <v>1442</v>
      </c>
      <c r="F185" s="8" t="s">
        <v>1443</v>
      </c>
      <c r="G185" s="8" t="s">
        <v>102</v>
      </c>
      <c r="H185" s="8" t="s">
        <v>1444</v>
      </c>
      <c r="I185" s="8" t="s">
        <v>305</v>
      </c>
      <c r="J185" s="8" t="s">
        <v>73</v>
      </c>
      <c r="K185" s="12" t="s">
        <v>81</v>
      </c>
      <c r="L185" s="8"/>
      <c r="M185" s="8"/>
    </row>
    <row r="186" ht="15.75" hidden="1" customHeight="1">
      <c r="A186" s="6" t="s">
        <v>1445</v>
      </c>
      <c r="B186" s="6" t="s">
        <v>1416</v>
      </c>
      <c r="C186" s="6" t="s">
        <v>1417</v>
      </c>
      <c r="D186" s="6" t="s">
        <v>1446</v>
      </c>
      <c r="E186" s="6" t="s">
        <v>1442</v>
      </c>
      <c r="F186" s="6" t="s">
        <v>1447</v>
      </c>
      <c r="G186" s="6" t="s">
        <v>1448</v>
      </c>
      <c r="H186" s="6" t="s">
        <v>1449</v>
      </c>
      <c r="I186" s="6" t="s">
        <v>71</v>
      </c>
      <c r="J186" s="6" t="s">
        <v>73</v>
      </c>
      <c r="K186" s="11" t="s">
        <v>163</v>
      </c>
      <c r="L186" s="6"/>
      <c r="M186" s="6"/>
    </row>
    <row r="187" ht="15.75" hidden="1" customHeight="1">
      <c r="A187" s="8" t="s">
        <v>1450</v>
      </c>
      <c r="B187" s="8" t="s">
        <v>1416</v>
      </c>
      <c r="C187" s="8" t="s">
        <v>1417</v>
      </c>
      <c r="D187" s="8" t="s">
        <v>1451</v>
      </c>
      <c r="E187" s="8" t="s">
        <v>1452</v>
      </c>
      <c r="F187" s="8" t="s">
        <v>715</v>
      </c>
      <c r="G187" s="8" t="s">
        <v>102</v>
      </c>
      <c r="H187" s="8" t="s">
        <v>1453</v>
      </c>
      <c r="I187" s="8" t="s">
        <v>168</v>
      </c>
      <c r="J187" s="8" t="s">
        <v>73</v>
      </c>
      <c r="K187" s="12" t="s">
        <v>81</v>
      </c>
      <c r="L187" s="8"/>
      <c r="M187" s="8"/>
    </row>
    <row r="188" ht="15.75" hidden="1" customHeight="1">
      <c r="A188" s="6" t="s">
        <v>1454</v>
      </c>
      <c r="B188" s="6" t="s">
        <v>1416</v>
      </c>
      <c r="C188" s="6" t="s">
        <v>1417</v>
      </c>
      <c r="D188" s="6" t="s">
        <v>1455</v>
      </c>
      <c r="E188" s="6" t="s">
        <v>1456</v>
      </c>
      <c r="F188" s="6" t="s">
        <v>715</v>
      </c>
      <c r="G188" s="6" t="s">
        <v>1457</v>
      </c>
      <c r="H188" s="6" t="s">
        <v>1458</v>
      </c>
      <c r="I188" s="6" t="s">
        <v>168</v>
      </c>
      <c r="J188" s="6" t="s">
        <v>73</v>
      </c>
      <c r="K188" s="11" t="s">
        <v>81</v>
      </c>
      <c r="L188" s="6"/>
      <c r="M188" s="6"/>
    </row>
    <row r="189" ht="15.75" hidden="1" customHeight="1">
      <c r="A189" s="8" t="s">
        <v>1459</v>
      </c>
      <c r="B189" s="8" t="s">
        <v>1416</v>
      </c>
      <c r="C189" s="8" t="s">
        <v>1417</v>
      </c>
      <c r="D189" s="8" t="s">
        <v>1460</v>
      </c>
      <c r="E189" s="8" t="s">
        <v>1461</v>
      </c>
      <c r="F189" s="8" t="s">
        <v>715</v>
      </c>
      <c r="G189" s="8" t="s">
        <v>102</v>
      </c>
      <c r="H189" s="8" t="s">
        <v>1462</v>
      </c>
      <c r="I189" s="8" t="s">
        <v>105</v>
      </c>
      <c r="J189" s="8" t="s">
        <v>73</v>
      </c>
      <c r="K189" s="12" t="s">
        <v>81</v>
      </c>
      <c r="L189" s="8"/>
      <c r="M189" s="8"/>
    </row>
    <row r="190" ht="15.75" hidden="1" customHeight="1">
      <c r="A190" s="6" t="s">
        <v>1463</v>
      </c>
      <c r="B190" s="6" t="s">
        <v>1416</v>
      </c>
      <c r="C190" s="6" t="s">
        <v>1417</v>
      </c>
      <c r="D190" s="6" t="s">
        <v>1464</v>
      </c>
      <c r="E190" s="6" t="s">
        <v>1465</v>
      </c>
      <c r="F190" s="6" t="s">
        <v>1466</v>
      </c>
      <c r="G190" s="6" t="s">
        <v>102</v>
      </c>
      <c r="H190" s="6" t="s">
        <v>1467</v>
      </c>
      <c r="I190" s="6" t="s">
        <v>168</v>
      </c>
      <c r="J190" s="6" t="s">
        <v>73</v>
      </c>
      <c r="K190" s="11" t="s">
        <v>81</v>
      </c>
      <c r="L190" s="6"/>
      <c r="M190" s="6"/>
    </row>
    <row r="191" ht="15.75" hidden="1" customHeight="1">
      <c r="A191" s="8" t="s">
        <v>1468</v>
      </c>
      <c r="B191" s="8" t="s">
        <v>1416</v>
      </c>
      <c r="C191" s="8" t="s">
        <v>1417</v>
      </c>
      <c r="D191" s="8" t="s">
        <v>1469</v>
      </c>
      <c r="E191" s="8" t="s">
        <v>1470</v>
      </c>
      <c r="F191" s="8" t="s">
        <v>1471</v>
      </c>
      <c r="G191" s="8" t="s">
        <v>102</v>
      </c>
      <c r="H191" s="8" t="s">
        <v>1472</v>
      </c>
      <c r="I191" s="8" t="s">
        <v>71</v>
      </c>
      <c r="J191" s="8" t="s">
        <v>73</v>
      </c>
      <c r="K191" s="12" t="s">
        <v>81</v>
      </c>
      <c r="L191" s="8"/>
      <c r="M191" s="8"/>
    </row>
    <row r="192" ht="15.75" hidden="1" customHeight="1">
      <c r="A192" s="6" t="s">
        <v>1473</v>
      </c>
      <c r="B192" s="6" t="s">
        <v>1416</v>
      </c>
      <c r="C192" s="6" t="s">
        <v>1417</v>
      </c>
      <c r="D192" s="6" t="s">
        <v>1474</v>
      </c>
      <c r="E192" s="6" t="s">
        <v>1475</v>
      </c>
      <c r="F192" s="6" t="s">
        <v>1476</v>
      </c>
      <c r="G192" s="6" t="s">
        <v>102</v>
      </c>
      <c r="H192" s="6" t="s">
        <v>1477</v>
      </c>
      <c r="I192" s="6" t="s">
        <v>105</v>
      </c>
      <c r="J192" s="6" t="s">
        <v>73</v>
      </c>
      <c r="K192" s="11" t="s">
        <v>81</v>
      </c>
      <c r="L192" s="6"/>
      <c r="M192" s="6"/>
    </row>
    <row r="193" ht="15.75" hidden="1" customHeight="1">
      <c r="A193" s="8" t="s">
        <v>1478</v>
      </c>
      <c r="B193" s="8" t="s">
        <v>1416</v>
      </c>
      <c r="C193" s="8" t="s">
        <v>1417</v>
      </c>
      <c r="D193" s="8" t="s">
        <v>1479</v>
      </c>
      <c r="E193" s="8" t="s">
        <v>1480</v>
      </c>
      <c r="F193" s="8" t="s">
        <v>1481</v>
      </c>
      <c r="G193" s="8" t="s">
        <v>102</v>
      </c>
      <c r="H193" s="8" t="s">
        <v>725</v>
      </c>
      <c r="I193" s="8" t="s">
        <v>105</v>
      </c>
      <c r="J193" s="8" t="s">
        <v>73</v>
      </c>
      <c r="K193" s="12" t="s">
        <v>81</v>
      </c>
      <c r="L193" s="8"/>
      <c r="M193" s="8"/>
    </row>
    <row r="194" ht="15.75" hidden="1" customHeight="1">
      <c r="A194" s="6" t="s">
        <v>1482</v>
      </c>
      <c r="B194" s="6" t="s">
        <v>1416</v>
      </c>
      <c r="C194" s="6" t="s">
        <v>1417</v>
      </c>
      <c r="D194" s="6" t="s">
        <v>1483</v>
      </c>
      <c r="E194" s="6" t="s">
        <v>1484</v>
      </c>
      <c r="F194" s="6" t="s">
        <v>990</v>
      </c>
      <c r="G194" s="6" t="s">
        <v>102</v>
      </c>
      <c r="H194" s="6" t="s">
        <v>1485</v>
      </c>
      <c r="I194" s="6" t="s">
        <v>71</v>
      </c>
      <c r="J194" s="6" t="s">
        <v>73</v>
      </c>
      <c r="K194" s="11" t="s">
        <v>81</v>
      </c>
      <c r="L194" s="6"/>
      <c r="M194" s="6"/>
    </row>
    <row r="195" ht="15.75" hidden="1" customHeight="1">
      <c r="A195" s="8" t="s">
        <v>1486</v>
      </c>
      <c r="B195" s="8" t="s">
        <v>1416</v>
      </c>
      <c r="C195" s="8" t="s">
        <v>1417</v>
      </c>
      <c r="D195" s="8" t="s">
        <v>1487</v>
      </c>
      <c r="E195" s="8" t="s">
        <v>1488</v>
      </c>
      <c r="F195" s="8" t="s">
        <v>872</v>
      </c>
      <c r="G195" s="8" t="s">
        <v>102</v>
      </c>
      <c r="H195" s="8" t="s">
        <v>1489</v>
      </c>
      <c r="I195" s="8" t="s">
        <v>105</v>
      </c>
      <c r="J195" s="8" t="s">
        <v>73</v>
      </c>
      <c r="K195" s="12" t="s">
        <v>81</v>
      </c>
      <c r="L195" s="8"/>
      <c r="M195" s="8"/>
    </row>
    <row r="196" ht="15.75" hidden="1" customHeight="1">
      <c r="A196" s="6" t="s">
        <v>1490</v>
      </c>
      <c r="B196" s="6" t="s">
        <v>1416</v>
      </c>
      <c r="C196" s="6" t="s">
        <v>1417</v>
      </c>
      <c r="D196" s="6" t="s">
        <v>1491</v>
      </c>
      <c r="E196" s="6" t="s">
        <v>1488</v>
      </c>
      <c r="F196" s="6" t="s">
        <v>1492</v>
      </c>
      <c r="G196" s="6" t="s">
        <v>102</v>
      </c>
      <c r="H196" s="6" t="s">
        <v>1493</v>
      </c>
      <c r="I196" s="6" t="s">
        <v>305</v>
      </c>
      <c r="J196" s="6" t="s">
        <v>73</v>
      </c>
      <c r="K196" s="11" t="s">
        <v>81</v>
      </c>
      <c r="L196" s="6"/>
      <c r="M196" s="6"/>
    </row>
    <row r="197" ht="15.75" hidden="1" customHeight="1">
      <c r="A197" s="8" t="s">
        <v>1494</v>
      </c>
      <c r="B197" s="8" t="s">
        <v>1416</v>
      </c>
      <c r="C197" s="8" t="s">
        <v>1417</v>
      </c>
      <c r="D197" s="8" t="s">
        <v>1495</v>
      </c>
      <c r="E197" s="8" t="s">
        <v>1496</v>
      </c>
      <c r="F197" s="8" t="s">
        <v>1497</v>
      </c>
      <c r="G197" s="8" t="s">
        <v>1498</v>
      </c>
      <c r="H197" s="8" t="s">
        <v>1499</v>
      </c>
      <c r="I197" s="8" t="s">
        <v>71</v>
      </c>
      <c r="J197" s="8" t="s">
        <v>73</v>
      </c>
      <c r="K197" s="12" t="s">
        <v>81</v>
      </c>
      <c r="L197" s="8"/>
      <c r="M197" s="8"/>
    </row>
    <row r="198" ht="15.75" hidden="1" customHeight="1">
      <c r="A198" s="6" t="s">
        <v>1500</v>
      </c>
      <c r="B198" s="6" t="s">
        <v>1416</v>
      </c>
      <c r="C198" s="6" t="s">
        <v>1417</v>
      </c>
      <c r="D198" s="6" t="s">
        <v>1501</v>
      </c>
      <c r="E198" s="6" t="s">
        <v>1502</v>
      </c>
      <c r="F198" s="6" t="s">
        <v>1503</v>
      </c>
      <c r="G198" s="6" t="s">
        <v>102</v>
      </c>
      <c r="H198" s="6" t="s">
        <v>1504</v>
      </c>
      <c r="I198" s="6" t="s">
        <v>71</v>
      </c>
      <c r="J198" s="6" t="s">
        <v>73</v>
      </c>
      <c r="K198" s="11" t="s">
        <v>81</v>
      </c>
      <c r="L198" s="6"/>
      <c r="M198" s="6"/>
    </row>
    <row r="199" ht="15.75" customHeight="1">
      <c r="A199" s="26" t="s">
        <v>1505</v>
      </c>
      <c r="B199" s="26" t="s">
        <v>1416</v>
      </c>
      <c r="C199" s="26" t="s">
        <v>1417</v>
      </c>
      <c r="D199" s="26" t="s">
        <v>1506</v>
      </c>
      <c r="E199" s="26" t="s">
        <v>1484</v>
      </c>
      <c r="F199" s="26" t="s">
        <v>1507</v>
      </c>
      <c r="G199" s="26" t="s">
        <v>102</v>
      </c>
      <c r="H199" s="26" t="s">
        <v>1508</v>
      </c>
      <c r="I199" s="26" t="s">
        <v>71</v>
      </c>
      <c r="J199" s="26" t="s">
        <v>73</v>
      </c>
      <c r="K199" s="27" t="s">
        <v>961</v>
      </c>
      <c r="L199" s="26"/>
      <c r="M199" s="26"/>
      <c r="N199" s="24"/>
      <c r="O199" s="24"/>
      <c r="P199" s="24"/>
      <c r="Q199" s="24"/>
      <c r="R199" s="24"/>
      <c r="S199" s="24"/>
      <c r="T199" s="24"/>
      <c r="U199" s="24"/>
      <c r="V199" s="24"/>
      <c r="W199" s="24"/>
      <c r="X199" s="24"/>
      <c r="Y199" s="24"/>
      <c r="Z199" s="24"/>
    </row>
    <row r="200" ht="15.75" hidden="1" customHeight="1">
      <c r="A200" s="26"/>
      <c r="B200" s="26"/>
      <c r="C200" s="26"/>
      <c r="D200" s="26"/>
      <c r="E200" s="26"/>
      <c r="F200" s="26"/>
      <c r="G200" s="26"/>
      <c r="H200" s="26"/>
      <c r="I200" s="26"/>
      <c r="J200" s="26"/>
      <c r="K200" s="26"/>
      <c r="L200" s="26"/>
      <c r="M200" s="26"/>
      <c r="N200" s="24"/>
      <c r="O200" s="24"/>
      <c r="P200" s="24"/>
      <c r="Q200" s="24"/>
      <c r="R200" s="24"/>
      <c r="S200" s="24"/>
      <c r="T200" s="24"/>
      <c r="U200" s="24"/>
      <c r="V200" s="24"/>
      <c r="W200" s="24"/>
      <c r="X200" s="24"/>
      <c r="Y200" s="24"/>
      <c r="Z200" s="24"/>
    </row>
    <row r="201" ht="15.75" hidden="1" customHeight="1">
      <c r="A201" s="26"/>
      <c r="B201" s="26"/>
      <c r="C201" s="26"/>
      <c r="D201" s="26"/>
      <c r="E201" s="26"/>
      <c r="F201" s="26"/>
      <c r="G201" s="26"/>
      <c r="H201" s="26"/>
      <c r="I201" s="26"/>
      <c r="J201" s="26"/>
      <c r="K201" s="26"/>
      <c r="L201" s="26"/>
      <c r="M201" s="26"/>
      <c r="N201" s="24"/>
      <c r="O201" s="24"/>
      <c r="P201" s="24"/>
      <c r="Q201" s="24"/>
      <c r="R201" s="24"/>
      <c r="S201" s="24"/>
      <c r="T201" s="24"/>
      <c r="U201" s="24"/>
      <c r="V201" s="24"/>
      <c r="W201" s="24"/>
      <c r="X201" s="24"/>
      <c r="Y201" s="24"/>
      <c r="Z201" s="24"/>
    </row>
    <row r="202" ht="15.75" hidden="1" customHeight="1">
      <c r="A202" s="26"/>
      <c r="B202" s="26"/>
      <c r="C202" s="26"/>
      <c r="D202" s="26"/>
      <c r="E202" s="26"/>
      <c r="F202" s="26"/>
      <c r="G202" s="26"/>
      <c r="H202" s="26"/>
      <c r="I202" s="26"/>
      <c r="J202" s="26"/>
      <c r="K202" s="26"/>
      <c r="L202" s="26"/>
      <c r="M202" s="26"/>
      <c r="N202" s="24"/>
      <c r="O202" s="24"/>
      <c r="P202" s="24"/>
      <c r="Q202" s="24"/>
      <c r="R202" s="24"/>
      <c r="S202" s="24"/>
      <c r="T202" s="24"/>
      <c r="U202" s="24"/>
      <c r="V202" s="24"/>
      <c r="W202" s="24"/>
      <c r="X202" s="24"/>
      <c r="Y202" s="24"/>
      <c r="Z202" s="24"/>
    </row>
    <row r="203" ht="15.75" hidden="1" customHeight="1">
      <c r="A203" s="26"/>
      <c r="B203" s="26"/>
      <c r="C203" s="26"/>
      <c r="D203" s="26"/>
      <c r="E203" s="26"/>
      <c r="F203" s="26"/>
      <c r="G203" s="26"/>
      <c r="H203" s="26"/>
      <c r="I203" s="26"/>
      <c r="J203" s="26"/>
      <c r="K203" s="26"/>
      <c r="L203" s="26"/>
      <c r="M203" s="26"/>
      <c r="N203" s="24"/>
      <c r="O203" s="24"/>
      <c r="P203" s="24"/>
      <c r="Q203" s="24"/>
      <c r="R203" s="24"/>
      <c r="S203" s="24"/>
      <c r="T203" s="24"/>
      <c r="U203" s="24"/>
      <c r="V203" s="24"/>
      <c r="W203" s="24"/>
      <c r="X203" s="24"/>
      <c r="Y203" s="24"/>
      <c r="Z203" s="24"/>
    </row>
    <row r="204" ht="15.75" hidden="1" customHeight="1">
      <c r="A204" s="26"/>
      <c r="B204" s="26"/>
      <c r="C204" s="26"/>
      <c r="D204" s="26"/>
      <c r="E204" s="26"/>
      <c r="F204" s="26"/>
      <c r="G204" s="26"/>
      <c r="H204" s="26"/>
      <c r="I204" s="26"/>
      <c r="J204" s="26"/>
      <c r="K204" s="26"/>
      <c r="L204" s="26"/>
      <c r="M204" s="26"/>
      <c r="N204" s="24"/>
      <c r="O204" s="24"/>
      <c r="P204" s="24"/>
      <c r="Q204" s="24"/>
      <c r="R204" s="24"/>
      <c r="S204" s="24"/>
      <c r="T204" s="24"/>
      <c r="U204" s="24"/>
      <c r="V204" s="24"/>
      <c r="W204" s="24"/>
      <c r="X204" s="24"/>
      <c r="Y204" s="24"/>
      <c r="Z204" s="24"/>
    </row>
    <row r="205" ht="15.75" hidden="1" customHeight="1">
      <c r="A205" s="26"/>
      <c r="B205" s="26"/>
      <c r="C205" s="26"/>
      <c r="D205" s="26"/>
      <c r="E205" s="26"/>
      <c r="F205" s="26"/>
      <c r="G205" s="26"/>
      <c r="H205" s="26"/>
      <c r="I205" s="26"/>
      <c r="J205" s="26"/>
      <c r="K205" s="26"/>
      <c r="L205" s="26"/>
      <c r="M205" s="26"/>
      <c r="N205" s="24"/>
      <c r="O205" s="24"/>
      <c r="P205" s="24"/>
      <c r="Q205" s="24"/>
      <c r="R205" s="24"/>
      <c r="S205" s="24"/>
      <c r="T205" s="24"/>
      <c r="U205" s="24"/>
      <c r="V205" s="24"/>
      <c r="W205" s="24"/>
      <c r="X205" s="24"/>
      <c r="Y205" s="24"/>
      <c r="Z205" s="24"/>
    </row>
    <row r="206" ht="15.75" hidden="1" customHeight="1">
      <c r="A206" s="26"/>
      <c r="B206" s="26"/>
      <c r="C206" s="26"/>
      <c r="D206" s="26"/>
      <c r="E206" s="26"/>
      <c r="F206" s="26"/>
      <c r="G206" s="26"/>
      <c r="H206" s="26"/>
      <c r="I206" s="26"/>
      <c r="J206" s="26"/>
      <c r="K206" s="26"/>
      <c r="L206" s="26"/>
      <c r="M206" s="26"/>
      <c r="N206" s="24"/>
      <c r="O206" s="24"/>
      <c r="P206" s="24"/>
      <c r="Q206" s="24"/>
      <c r="R206" s="24"/>
      <c r="S206" s="24"/>
      <c r="T206" s="24"/>
      <c r="U206" s="24"/>
      <c r="V206" s="24"/>
      <c r="W206" s="24"/>
      <c r="X206" s="24"/>
      <c r="Y206" s="24"/>
      <c r="Z206" s="24"/>
    </row>
    <row r="207" ht="15.75" hidden="1" customHeight="1">
      <c r="A207" s="26"/>
      <c r="B207" s="26"/>
      <c r="C207" s="26"/>
      <c r="D207" s="26"/>
      <c r="E207" s="26"/>
      <c r="F207" s="26"/>
      <c r="G207" s="26"/>
      <c r="H207" s="26"/>
      <c r="I207" s="26"/>
      <c r="J207" s="26"/>
      <c r="K207" s="26"/>
      <c r="L207" s="26"/>
      <c r="M207" s="26"/>
      <c r="N207" s="24"/>
      <c r="O207" s="24"/>
      <c r="P207" s="24"/>
      <c r="Q207" s="24"/>
      <c r="R207" s="24"/>
      <c r="S207" s="24"/>
      <c r="T207" s="24"/>
      <c r="U207" s="24"/>
      <c r="V207" s="24"/>
      <c r="W207" s="24"/>
      <c r="X207" s="24"/>
      <c r="Y207" s="24"/>
      <c r="Z207" s="24"/>
    </row>
    <row r="208" ht="15.75" hidden="1" customHeight="1">
      <c r="A208" s="26"/>
      <c r="B208" s="26"/>
      <c r="C208" s="26"/>
      <c r="D208" s="26"/>
      <c r="E208" s="26"/>
      <c r="F208" s="26"/>
      <c r="G208" s="26"/>
      <c r="H208" s="26"/>
      <c r="I208" s="26"/>
      <c r="J208" s="26"/>
      <c r="K208" s="26"/>
      <c r="L208" s="26"/>
      <c r="M208" s="26"/>
      <c r="N208" s="24"/>
      <c r="O208" s="24"/>
      <c r="P208" s="24"/>
      <c r="Q208" s="24"/>
      <c r="R208" s="24"/>
      <c r="S208" s="24"/>
      <c r="T208" s="24"/>
      <c r="U208" s="24"/>
      <c r="V208" s="24"/>
      <c r="W208" s="24"/>
      <c r="X208" s="24"/>
      <c r="Y208" s="24"/>
      <c r="Z208" s="24"/>
    </row>
    <row r="209" ht="15.75" hidden="1" customHeight="1">
      <c r="A209" s="26"/>
      <c r="B209" s="26"/>
      <c r="C209" s="26"/>
      <c r="D209" s="26"/>
      <c r="E209" s="26"/>
      <c r="F209" s="26"/>
      <c r="G209" s="26"/>
      <c r="H209" s="26"/>
      <c r="I209" s="26"/>
      <c r="J209" s="26"/>
      <c r="K209" s="26"/>
      <c r="L209" s="26"/>
      <c r="M209" s="26"/>
      <c r="N209" s="24"/>
      <c r="O209" s="24"/>
      <c r="P209" s="24"/>
      <c r="Q209" s="24"/>
      <c r="R209" s="24"/>
      <c r="S209" s="24"/>
      <c r="T209" s="24"/>
      <c r="U209" s="24"/>
      <c r="V209" s="24"/>
      <c r="W209" s="24"/>
      <c r="X209" s="24"/>
      <c r="Y209" s="24"/>
      <c r="Z209" s="24"/>
    </row>
    <row r="210" ht="15.75" hidden="1" customHeight="1">
      <c r="A210" s="6" t="s">
        <v>1509</v>
      </c>
      <c r="B210" s="6" t="s">
        <v>1510</v>
      </c>
      <c r="C210" s="6" t="s">
        <v>110</v>
      </c>
      <c r="D210" s="6" t="s">
        <v>1511</v>
      </c>
      <c r="E210" s="6" t="s">
        <v>218</v>
      </c>
      <c r="F210" s="6" t="s">
        <v>1512</v>
      </c>
      <c r="G210" s="6" t="s">
        <v>102</v>
      </c>
      <c r="H210" s="6" t="s">
        <v>1513</v>
      </c>
      <c r="I210" s="6" t="s">
        <v>105</v>
      </c>
      <c r="J210" s="6" t="s">
        <v>73</v>
      </c>
      <c r="K210" s="11" t="s">
        <v>81</v>
      </c>
      <c r="L210" s="6"/>
      <c r="M210" s="11" t="s">
        <v>1514</v>
      </c>
    </row>
    <row r="211" ht="15.75" hidden="1" customHeight="1">
      <c r="A211" s="8" t="s">
        <v>1515</v>
      </c>
      <c r="B211" s="8" t="s">
        <v>1510</v>
      </c>
      <c r="C211" s="8" t="s">
        <v>110</v>
      </c>
      <c r="D211" s="8" t="s">
        <v>1516</v>
      </c>
      <c r="E211" s="8" t="s">
        <v>1517</v>
      </c>
      <c r="F211" s="8" t="s">
        <v>1518</v>
      </c>
      <c r="G211" s="8" t="s">
        <v>102</v>
      </c>
      <c r="H211" s="8" t="s">
        <v>1519</v>
      </c>
      <c r="I211" s="8" t="s">
        <v>168</v>
      </c>
      <c r="J211" s="8" t="s">
        <v>73</v>
      </c>
      <c r="K211" s="12" t="s">
        <v>81</v>
      </c>
      <c r="L211" s="12" t="s">
        <v>1520</v>
      </c>
      <c r="M211" s="12" t="s">
        <v>1521</v>
      </c>
    </row>
    <row r="212" ht="15.75" hidden="1" customHeight="1">
      <c r="A212" s="6" t="s">
        <v>1522</v>
      </c>
      <c r="B212" s="6" t="s">
        <v>1510</v>
      </c>
      <c r="C212" s="6" t="s">
        <v>110</v>
      </c>
      <c r="D212" s="6" t="s">
        <v>1523</v>
      </c>
      <c r="E212" s="6" t="s">
        <v>1524</v>
      </c>
      <c r="F212" s="6" t="s">
        <v>1525</v>
      </c>
      <c r="G212" s="6" t="s">
        <v>102</v>
      </c>
      <c r="H212" s="6" t="s">
        <v>1526</v>
      </c>
      <c r="I212" s="6" t="s">
        <v>168</v>
      </c>
      <c r="J212" s="6" t="s">
        <v>73</v>
      </c>
      <c r="K212" s="11" t="s">
        <v>81</v>
      </c>
      <c r="L212" s="6"/>
      <c r="M212" s="6"/>
    </row>
    <row r="213" ht="15.75" hidden="1" customHeight="1">
      <c r="A213" s="8" t="s">
        <v>1527</v>
      </c>
      <c r="B213" s="8" t="s">
        <v>1510</v>
      </c>
      <c r="C213" s="8" t="s">
        <v>110</v>
      </c>
      <c r="D213" s="8" t="s">
        <v>1528</v>
      </c>
      <c r="E213" s="8" t="s">
        <v>1529</v>
      </c>
      <c r="F213" s="8" t="s">
        <v>1530</v>
      </c>
      <c r="G213" s="8" t="s">
        <v>102</v>
      </c>
      <c r="H213" s="8" t="s">
        <v>1531</v>
      </c>
      <c r="I213" s="8" t="s">
        <v>168</v>
      </c>
      <c r="J213" s="8" t="s">
        <v>73</v>
      </c>
      <c r="K213" s="12" t="s">
        <v>81</v>
      </c>
      <c r="L213" s="8"/>
      <c r="M213" s="8"/>
    </row>
    <row r="214" ht="15.75" hidden="1" customHeight="1">
      <c r="A214" s="6" t="s">
        <v>1532</v>
      </c>
      <c r="B214" s="6" t="s">
        <v>1510</v>
      </c>
      <c r="C214" s="6" t="s">
        <v>110</v>
      </c>
      <c r="D214" s="6" t="s">
        <v>1533</v>
      </c>
      <c r="E214" s="6" t="s">
        <v>218</v>
      </c>
      <c r="F214" s="6" t="s">
        <v>1534</v>
      </c>
      <c r="G214" s="6" t="s">
        <v>102</v>
      </c>
      <c r="H214" s="6" t="s">
        <v>1535</v>
      </c>
      <c r="I214" s="6" t="s">
        <v>105</v>
      </c>
      <c r="J214" s="6" t="s">
        <v>73</v>
      </c>
      <c r="K214" s="11" t="s">
        <v>81</v>
      </c>
      <c r="L214" s="6"/>
      <c r="M214" s="6"/>
    </row>
    <row r="215" ht="19.5" hidden="1" customHeight="1">
      <c r="A215" s="26"/>
      <c r="B215" s="26"/>
      <c r="C215" s="26"/>
      <c r="D215" s="26"/>
      <c r="E215" s="26"/>
      <c r="F215" s="26"/>
      <c r="G215" s="26"/>
      <c r="H215" s="26"/>
      <c r="I215" s="26"/>
      <c r="J215" s="26"/>
      <c r="K215" s="26"/>
      <c r="L215" s="26"/>
      <c r="M215" s="26"/>
      <c r="N215" s="24"/>
      <c r="O215" s="24"/>
      <c r="P215" s="24"/>
      <c r="Q215" s="24"/>
      <c r="R215" s="24"/>
      <c r="S215" s="24"/>
      <c r="T215" s="24"/>
      <c r="U215" s="24"/>
      <c r="V215" s="24"/>
      <c r="W215" s="24"/>
      <c r="X215" s="24"/>
      <c r="Y215" s="24"/>
      <c r="Z215" s="24"/>
    </row>
    <row r="216" ht="15.75" hidden="1" customHeight="1">
      <c r="A216" s="8" t="s">
        <v>1536</v>
      </c>
      <c r="B216" s="8" t="s">
        <v>1510</v>
      </c>
      <c r="C216" s="8" t="s">
        <v>110</v>
      </c>
      <c r="D216" s="8" t="s">
        <v>1537</v>
      </c>
      <c r="E216" s="8" t="s">
        <v>293</v>
      </c>
      <c r="F216" s="8" t="s">
        <v>1538</v>
      </c>
      <c r="G216" s="8" t="s">
        <v>102</v>
      </c>
      <c r="H216" s="8" t="s">
        <v>572</v>
      </c>
      <c r="I216" s="8" t="s">
        <v>168</v>
      </c>
      <c r="J216" s="8" t="s">
        <v>73</v>
      </c>
      <c r="K216" s="12" t="s">
        <v>81</v>
      </c>
      <c r="L216" s="8"/>
      <c r="M216" s="8"/>
    </row>
    <row r="217" ht="15.75" customHeight="1">
      <c r="A217" s="26" t="s">
        <v>1539</v>
      </c>
      <c r="B217" s="26" t="s">
        <v>1540</v>
      </c>
      <c r="C217" s="26" t="s">
        <v>1541</v>
      </c>
      <c r="D217" s="26" t="s">
        <v>1542</v>
      </c>
      <c r="E217" s="26" t="s">
        <v>241</v>
      </c>
      <c r="F217" s="26" t="s">
        <v>1158</v>
      </c>
      <c r="G217" s="26" t="s">
        <v>102</v>
      </c>
      <c r="H217" s="26" t="s">
        <v>1543</v>
      </c>
      <c r="I217" s="26" t="s">
        <v>105</v>
      </c>
      <c r="J217" s="26" t="s">
        <v>73</v>
      </c>
      <c r="K217" s="27" t="s">
        <v>961</v>
      </c>
      <c r="L217" s="26"/>
      <c r="M217" s="26"/>
      <c r="N217" s="24"/>
      <c r="O217" s="24"/>
      <c r="P217" s="24"/>
      <c r="Q217" s="24"/>
      <c r="R217" s="24"/>
      <c r="S217" s="24"/>
      <c r="T217" s="24"/>
      <c r="U217" s="24"/>
      <c r="V217" s="24"/>
      <c r="W217" s="24"/>
      <c r="X217" s="24"/>
      <c r="Y217" s="24"/>
      <c r="Z217" s="24"/>
    </row>
    <row r="218" ht="15.75" customHeight="1">
      <c r="A218" s="26" t="s">
        <v>1544</v>
      </c>
      <c r="B218" s="26" t="s">
        <v>1540</v>
      </c>
      <c r="C218" s="26" t="s">
        <v>1541</v>
      </c>
      <c r="D218" s="26" t="s">
        <v>1545</v>
      </c>
      <c r="E218" s="26" t="s">
        <v>1546</v>
      </c>
      <c r="F218" s="26" t="s">
        <v>622</v>
      </c>
      <c r="G218" s="26" t="s">
        <v>102</v>
      </c>
      <c r="H218" s="26" t="s">
        <v>1547</v>
      </c>
      <c r="I218" s="26" t="s">
        <v>105</v>
      </c>
      <c r="J218" s="26" t="s">
        <v>73</v>
      </c>
      <c r="K218" s="27" t="s">
        <v>961</v>
      </c>
      <c r="L218" s="26"/>
      <c r="M218" s="26"/>
      <c r="N218" s="24"/>
      <c r="O218" s="24"/>
      <c r="P218" s="24"/>
      <c r="Q218" s="24"/>
      <c r="R218" s="24"/>
      <c r="S218" s="24"/>
      <c r="T218" s="24"/>
      <c r="U218" s="24"/>
      <c r="V218" s="24"/>
      <c r="W218" s="24"/>
      <c r="X218" s="24"/>
      <c r="Y218" s="24"/>
      <c r="Z218" s="24"/>
    </row>
    <row r="219" ht="15.75" customHeight="1">
      <c r="A219" s="26" t="s">
        <v>1548</v>
      </c>
      <c r="B219" s="26" t="s">
        <v>1540</v>
      </c>
      <c r="C219" s="26" t="s">
        <v>1541</v>
      </c>
      <c r="D219" s="26" t="s">
        <v>1549</v>
      </c>
      <c r="E219" s="26" t="s">
        <v>1550</v>
      </c>
      <c r="F219" s="26" t="s">
        <v>1551</v>
      </c>
      <c r="G219" s="26" t="s">
        <v>102</v>
      </c>
      <c r="H219" s="26" t="s">
        <v>1552</v>
      </c>
      <c r="I219" s="26" t="s">
        <v>71</v>
      </c>
      <c r="J219" s="26" t="s">
        <v>73</v>
      </c>
      <c r="K219" s="27" t="s">
        <v>961</v>
      </c>
      <c r="L219" s="26"/>
      <c r="M219" s="26"/>
      <c r="N219" s="24"/>
      <c r="O219" s="24"/>
      <c r="P219" s="24"/>
      <c r="Q219" s="24"/>
      <c r="R219" s="24"/>
      <c r="S219" s="24"/>
      <c r="T219" s="24"/>
      <c r="U219" s="24"/>
      <c r="V219" s="24"/>
      <c r="W219" s="24"/>
      <c r="X219" s="24"/>
      <c r="Y219" s="24"/>
      <c r="Z219" s="24"/>
    </row>
    <row r="220" ht="15.75" customHeight="1">
      <c r="A220" s="26" t="s">
        <v>1553</v>
      </c>
      <c r="B220" s="26" t="s">
        <v>1540</v>
      </c>
      <c r="C220" s="26" t="s">
        <v>1541</v>
      </c>
      <c r="D220" s="26" t="s">
        <v>1554</v>
      </c>
      <c r="E220" s="26" t="s">
        <v>1555</v>
      </c>
      <c r="F220" s="26" t="s">
        <v>1556</v>
      </c>
      <c r="G220" s="26" t="s">
        <v>102</v>
      </c>
      <c r="H220" s="26" t="s">
        <v>1557</v>
      </c>
      <c r="I220" s="26" t="s">
        <v>105</v>
      </c>
      <c r="J220" s="26" t="s">
        <v>73</v>
      </c>
      <c r="K220" s="27" t="s">
        <v>961</v>
      </c>
      <c r="L220" s="26"/>
      <c r="M220" s="26"/>
      <c r="N220" s="24"/>
      <c r="O220" s="24"/>
      <c r="P220" s="24"/>
      <c r="Q220" s="24"/>
      <c r="R220" s="24"/>
      <c r="S220" s="24"/>
      <c r="T220" s="24"/>
      <c r="U220" s="24"/>
      <c r="V220" s="24"/>
      <c r="W220" s="24"/>
      <c r="X220" s="24"/>
      <c r="Y220" s="24"/>
      <c r="Z220" s="24"/>
    </row>
    <row r="221" ht="15.75" customHeight="1">
      <c r="A221" s="26" t="s">
        <v>1558</v>
      </c>
      <c r="B221" s="26" t="s">
        <v>1540</v>
      </c>
      <c r="C221" s="26" t="s">
        <v>1541</v>
      </c>
      <c r="D221" s="26" t="s">
        <v>1559</v>
      </c>
      <c r="E221" s="26" t="s">
        <v>1560</v>
      </c>
      <c r="F221" s="26" t="s">
        <v>1556</v>
      </c>
      <c r="G221" s="26" t="s">
        <v>102</v>
      </c>
      <c r="H221" s="26" t="s">
        <v>1561</v>
      </c>
      <c r="I221" s="26" t="s">
        <v>105</v>
      </c>
      <c r="J221" s="26" t="s">
        <v>73</v>
      </c>
      <c r="K221" s="27" t="s">
        <v>961</v>
      </c>
      <c r="L221" s="26"/>
      <c r="M221" s="26"/>
      <c r="N221" s="24"/>
      <c r="O221" s="24"/>
      <c r="P221" s="24"/>
      <c r="Q221" s="24"/>
      <c r="R221" s="24"/>
      <c r="S221" s="24"/>
      <c r="T221" s="24"/>
      <c r="U221" s="24"/>
      <c r="V221" s="24"/>
      <c r="W221" s="24"/>
      <c r="X221" s="24"/>
      <c r="Y221" s="24"/>
      <c r="Z221" s="24"/>
    </row>
    <row r="222" ht="15.75" customHeight="1">
      <c r="A222" s="26" t="s">
        <v>1562</v>
      </c>
      <c r="B222" s="26" t="s">
        <v>1540</v>
      </c>
      <c r="C222" s="26" t="s">
        <v>1541</v>
      </c>
      <c r="D222" s="26" t="s">
        <v>1563</v>
      </c>
      <c r="E222" s="26" t="s">
        <v>1564</v>
      </c>
      <c r="F222" s="26" t="s">
        <v>1565</v>
      </c>
      <c r="G222" s="26" t="s">
        <v>102</v>
      </c>
      <c r="H222" s="26" t="s">
        <v>1566</v>
      </c>
      <c r="I222" s="26" t="s">
        <v>71</v>
      </c>
      <c r="J222" s="26" t="s">
        <v>73</v>
      </c>
      <c r="K222" s="27" t="s">
        <v>961</v>
      </c>
      <c r="L222" s="26"/>
      <c r="M222" s="26"/>
      <c r="N222" s="24"/>
      <c r="O222" s="24"/>
      <c r="P222" s="24"/>
      <c r="Q222" s="24"/>
      <c r="R222" s="24"/>
      <c r="S222" s="24"/>
      <c r="T222" s="24"/>
      <c r="U222" s="24"/>
      <c r="V222" s="24"/>
      <c r="W222" s="24"/>
      <c r="X222" s="24"/>
      <c r="Y222" s="24"/>
      <c r="Z222" s="24"/>
    </row>
    <row r="223" ht="15.75" customHeight="1">
      <c r="A223" s="26" t="s">
        <v>1567</v>
      </c>
      <c r="B223" s="26" t="s">
        <v>1540</v>
      </c>
      <c r="C223" s="26" t="s">
        <v>1541</v>
      </c>
      <c r="D223" s="26" t="s">
        <v>1568</v>
      </c>
      <c r="E223" s="26" t="s">
        <v>1569</v>
      </c>
      <c r="F223" s="26" t="s">
        <v>1570</v>
      </c>
      <c r="G223" s="26" t="s">
        <v>102</v>
      </c>
      <c r="H223" s="26" t="s">
        <v>1571</v>
      </c>
      <c r="I223" s="26" t="s">
        <v>105</v>
      </c>
      <c r="J223" s="26" t="s">
        <v>169</v>
      </c>
      <c r="K223" s="27" t="s">
        <v>961</v>
      </c>
      <c r="L223" s="26"/>
      <c r="M223" s="26"/>
      <c r="N223" s="24"/>
      <c r="O223" s="24"/>
      <c r="P223" s="24"/>
      <c r="Q223" s="24"/>
      <c r="R223" s="24"/>
      <c r="S223" s="24"/>
      <c r="T223" s="24"/>
      <c r="U223" s="24"/>
      <c r="V223" s="24"/>
      <c r="W223" s="24"/>
      <c r="X223" s="24"/>
      <c r="Y223" s="24"/>
      <c r="Z223" s="24"/>
    </row>
    <row r="224" ht="147.75" customHeight="1">
      <c r="A224" s="26" t="s">
        <v>1572</v>
      </c>
      <c r="B224" s="26" t="s">
        <v>964</v>
      </c>
      <c r="C224" s="26" t="s">
        <v>965</v>
      </c>
      <c r="D224" s="26" t="s">
        <v>1573</v>
      </c>
      <c r="E224" s="26" t="s">
        <v>1574</v>
      </c>
      <c r="F224" s="26" t="s">
        <v>1575</v>
      </c>
      <c r="G224" s="26" t="s">
        <v>102</v>
      </c>
      <c r="H224" s="26" t="s">
        <v>1576</v>
      </c>
      <c r="I224" s="26" t="s">
        <v>105</v>
      </c>
      <c r="J224" s="26" t="s">
        <v>73</v>
      </c>
      <c r="K224" s="27" t="s">
        <v>961</v>
      </c>
      <c r="L224" s="26"/>
      <c r="M224" s="27" t="s">
        <v>1577</v>
      </c>
      <c r="N224" s="24"/>
      <c r="O224" s="24"/>
      <c r="P224" s="24"/>
      <c r="Q224" s="24"/>
      <c r="R224" s="24"/>
      <c r="S224" s="24"/>
      <c r="T224" s="24"/>
      <c r="U224" s="24"/>
      <c r="V224" s="24"/>
      <c r="W224" s="24"/>
      <c r="X224" s="24"/>
      <c r="Y224" s="24"/>
      <c r="Z224" s="24"/>
    </row>
    <row r="225" ht="15.75" hidden="1" customHeight="1">
      <c r="A225" s="6" t="s">
        <v>1578</v>
      </c>
      <c r="B225" s="6" t="s">
        <v>1579</v>
      </c>
      <c r="C225" s="6" t="s">
        <v>965</v>
      </c>
      <c r="D225" s="6" t="s">
        <v>1580</v>
      </c>
      <c r="E225" s="6" t="s">
        <v>1581</v>
      </c>
      <c r="F225" s="6" t="s">
        <v>1582</v>
      </c>
      <c r="G225" s="6" t="s">
        <v>102</v>
      </c>
      <c r="H225" s="6" t="s">
        <v>1583</v>
      </c>
      <c r="I225" s="6" t="s">
        <v>105</v>
      </c>
      <c r="J225" s="6" t="s">
        <v>73</v>
      </c>
      <c r="K225" s="12" t="s">
        <v>81</v>
      </c>
      <c r="L225" s="6"/>
      <c r="M225" s="11" t="s">
        <v>1584</v>
      </c>
    </row>
    <row r="226" ht="15.75" hidden="1" customHeight="1">
      <c r="A226" s="6" t="s">
        <v>1585</v>
      </c>
      <c r="B226" s="6" t="s">
        <v>1579</v>
      </c>
      <c r="C226" s="6" t="s">
        <v>965</v>
      </c>
      <c r="D226" s="6" t="s">
        <v>1586</v>
      </c>
      <c r="E226" s="6" t="s">
        <v>1587</v>
      </c>
      <c r="F226" s="6" t="s">
        <v>1588</v>
      </c>
      <c r="G226" s="6" t="s">
        <v>102</v>
      </c>
      <c r="H226" s="6" t="s">
        <v>1589</v>
      </c>
      <c r="I226" s="6" t="s">
        <v>105</v>
      </c>
      <c r="J226" s="6" t="s">
        <v>73</v>
      </c>
      <c r="K226" s="12" t="s">
        <v>81</v>
      </c>
      <c r="L226" s="6"/>
      <c r="M226" s="6"/>
    </row>
    <row r="227" ht="15.75" hidden="1" customHeight="1">
      <c r="A227" s="6" t="s">
        <v>1590</v>
      </c>
      <c r="B227" s="6" t="s">
        <v>1579</v>
      </c>
      <c r="C227" s="6" t="s">
        <v>965</v>
      </c>
      <c r="D227" s="6" t="s">
        <v>1591</v>
      </c>
      <c r="E227" s="6" t="s">
        <v>1592</v>
      </c>
      <c r="F227" s="6" t="s">
        <v>1593</v>
      </c>
      <c r="G227" s="6" t="s">
        <v>102</v>
      </c>
      <c r="H227" s="6" t="s">
        <v>869</v>
      </c>
      <c r="I227" s="6" t="s">
        <v>168</v>
      </c>
      <c r="J227" s="6" t="s">
        <v>73</v>
      </c>
      <c r="K227" s="12" t="s">
        <v>81</v>
      </c>
      <c r="L227" s="6"/>
      <c r="M227" s="11" t="s">
        <v>1594</v>
      </c>
    </row>
    <row r="228" ht="15.75" hidden="1" customHeight="1">
      <c r="A228" s="6" t="s">
        <v>1595</v>
      </c>
      <c r="B228" s="6" t="s">
        <v>1069</v>
      </c>
      <c r="C228" s="6" t="s">
        <v>1070</v>
      </c>
      <c r="D228" s="6" t="s">
        <v>1596</v>
      </c>
      <c r="E228" s="6" t="s">
        <v>1085</v>
      </c>
      <c r="F228" s="6" t="s">
        <v>1597</v>
      </c>
      <c r="G228" s="6" t="s">
        <v>102</v>
      </c>
      <c r="H228" s="6" t="s">
        <v>869</v>
      </c>
      <c r="I228" s="6" t="s">
        <v>105</v>
      </c>
      <c r="J228" s="6" t="s">
        <v>73</v>
      </c>
      <c r="K228" s="12" t="s">
        <v>81</v>
      </c>
      <c r="L228" s="6"/>
      <c r="M228" s="6"/>
    </row>
    <row r="229" ht="15.75" customHeight="1">
      <c r="A229" s="8" t="s">
        <v>1598</v>
      </c>
      <c r="B229" s="8" t="s">
        <v>1069</v>
      </c>
      <c r="C229" s="8" t="s">
        <v>1070</v>
      </c>
      <c r="D229" s="8" t="s">
        <v>1599</v>
      </c>
      <c r="E229" s="8" t="s">
        <v>1600</v>
      </c>
      <c r="F229" s="8" t="s">
        <v>1601</v>
      </c>
      <c r="G229" s="8" t="s">
        <v>102</v>
      </c>
      <c r="H229" s="8" t="s">
        <v>1602</v>
      </c>
      <c r="I229" s="8" t="s">
        <v>168</v>
      </c>
      <c r="J229" s="8" t="s">
        <v>169</v>
      </c>
      <c r="K229" s="12" t="s">
        <v>170</v>
      </c>
      <c r="L229" s="8"/>
      <c r="M229" s="8"/>
    </row>
    <row r="230" ht="15.75" hidden="1" customHeight="1">
      <c r="A230" s="6" t="s">
        <v>1603</v>
      </c>
      <c r="B230" s="6" t="s">
        <v>1604</v>
      </c>
      <c r="C230" s="6" t="s">
        <v>1605</v>
      </c>
      <c r="D230" s="6" t="s">
        <v>1606</v>
      </c>
      <c r="E230" s="6" t="s">
        <v>1607</v>
      </c>
      <c r="F230" s="6" t="s">
        <v>1608</v>
      </c>
      <c r="G230" s="6" t="s">
        <v>102</v>
      </c>
      <c r="H230" s="6" t="s">
        <v>1609</v>
      </c>
      <c r="I230" s="6" t="s">
        <v>105</v>
      </c>
      <c r="J230" s="6" t="s">
        <v>73</v>
      </c>
      <c r="K230" s="12" t="s">
        <v>1610</v>
      </c>
      <c r="L230" s="6"/>
      <c r="M230" s="11" t="s">
        <v>1611</v>
      </c>
      <c r="N230" s="6" t="s">
        <v>1612</v>
      </c>
    </row>
    <row r="231" ht="15.75" hidden="1" customHeight="1">
      <c r="A231" s="6" t="s">
        <v>1613</v>
      </c>
      <c r="B231" s="6" t="s">
        <v>1604</v>
      </c>
      <c r="C231" s="6" t="s">
        <v>1605</v>
      </c>
      <c r="D231" s="6" t="s">
        <v>1614</v>
      </c>
      <c r="E231" s="6" t="s">
        <v>1615</v>
      </c>
      <c r="F231" s="6" t="s">
        <v>1616</v>
      </c>
      <c r="G231" s="6" t="s">
        <v>102</v>
      </c>
      <c r="H231" s="6" t="s">
        <v>1617</v>
      </c>
      <c r="I231" s="6" t="s">
        <v>105</v>
      </c>
      <c r="J231" s="6" t="s">
        <v>73</v>
      </c>
      <c r="K231" s="12" t="s">
        <v>81</v>
      </c>
      <c r="L231" s="6"/>
      <c r="M231" s="6"/>
    </row>
    <row r="232" ht="15.75" hidden="1" customHeight="1">
      <c r="A232" s="6" t="s">
        <v>1618</v>
      </c>
      <c r="B232" s="6" t="s">
        <v>1604</v>
      </c>
      <c r="C232" s="6" t="s">
        <v>1605</v>
      </c>
      <c r="D232" s="6" t="s">
        <v>1619</v>
      </c>
      <c r="E232" s="6" t="s">
        <v>1620</v>
      </c>
      <c r="F232" s="6" t="s">
        <v>1621</v>
      </c>
      <c r="G232" s="6" t="s">
        <v>102</v>
      </c>
      <c r="H232" s="6" t="s">
        <v>1622</v>
      </c>
      <c r="I232" s="6" t="s">
        <v>105</v>
      </c>
      <c r="J232" s="6" t="s">
        <v>73</v>
      </c>
      <c r="K232" s="12" t="s">
        <v>1610</v>
      </c>
      <c r="L232" s="6"/>
      <c r="M232" s="6"/>
    </row>
    <row r="233" ht="15.75" hidden="1" customHeight="1">
      <c r="A233" s="6" t="s">
        <v>1623</v>
      </c>
      <c r="B233" s="6" t="s">
        <v>1604</v>
      </c>
      <c r="C233" s="6" t="s">
        <v>1605</v>
      </c>
      <c r="D233" s="6" t="s">
        <v>1624</v>
      </c>
      <c r="E233" s="6" t="s">
        <v>1625</v>
      </c>
      <c r="F233" s="6" t="s">
        <v>1626</v>
      </c>
      <c r="G233" s="6" t="s">
        <v>1041</v>
      </c>
      <c r="H233" s="6" t="s">
        <v>1627</v>
      </c>
      <c r="I233" s="6" t="s">
        <v>105</v>
      </c>
      <c r="J233" s="6" t="s">
        <v>73</v>
      </c>
      <c r="K233" s="12" t="s">
        <v>81</v>
      </c>
      <c r="L233" s="6"/>
      <c r="M233" s="6"/>
    </row>
    <row r="234" ht="15.75" hidden="1" customHeight="1">
      <c r="A234" s="8" t="s">
        <v>1628</v>
      </c>
      <c r="B234" s="8" t="s">
        <v>1604</v>
      </c>
      <c r="C234" s="8" t="s">
        <v>1605</v>
      </c>
      <c r="D234" s="8" t="s">
        <v>1629</v>
      </c>
      <c r="E234" s="8" t="s">
        <v>1625</v>
      </c>
      <c r="F234" s="8" t="s">
        <v>1630</v>
      </c>
      <c r="G234" s="8" t="s">
        <v>102</v>
      </c>
      <c r="H234" s="8" t="s">
        <v>1631</v>
      </c>
      <c r="I234" s="8" t="s">
        <v>105</v>
      </c>
      <c r="J234" s="8" t="s">
        <v>73</v>
      </c>
      <c r="K234" s="12" t="s">
        <v>81</v>
      </c>
      <c r="L234" s="8"/>
      <c r="M234" s="8"/>
    </row>
    <row r="235" ht="15.75" hidden="1" customHeight="1">
      <c r="A235" s="8" t="s">
        <v>1632</v>
      </c>
      <c r="B235" s="8" t="s">
        <v>1604</v>
      </c>
      <c r="C235" s="8" t="s">
        <v>1605</v>
      </c>
      <c r="D235" s="12" t="s">
        <v>1633</v>
      </c>
      <c r="E235" s="8" t="s">
        <v>1634</v>
      </c>
      <c r="F235" s="8" t="s">
        <v>1635</v>
      </c>
      <c r="G235" s="8" t="s">
        <v>102</v>
      </c>
      <c r="H235" s="8" t="s">
        <v>1636</v>
      </c>
      <c r="I235" s="8" t="s">
        <v>105</v>
      </c>
      <c r="J235" s="8" t="s">
        <v>73</v>
      </c>
      <c r="K235" s="12" t="s">
        <v>81</v>
      </c>
      <c r="L235" s="8"/>
      <c r="M235" s="8"/>
    </row>
    <row r="236" ht="15.75" customHeight="1">
      <c r="A236" s="8" t="s">
        <v>1637</v>
      </c>
      <c r="B236" s="8" t="s">
        <v>1604</v>
      </c>
      <c r="C236" s="8" t="s">
        <v>1605</v>
      </c>
      <c r="D236" s="8" t="s">
        <v>1638</v>
      </c>
      <c r="E236" s="8" t="s">
        <v>1639</v>
      </c>
      <c r="F236" s="8" t="s">
        <v>1640</v>
      </c>
      <c r="G236" s="8" t="s">
        <v>102</v>
      </c>
      <c r="H236" s="8" t="s">
        <v>1641</v>
      </c>
      <c r="I236" s="8" t="s">
        <v>71</v>
      </c>
      <c r="J236" s="8" t="s">
        <v>73</v>
      </c>
      <c r="K236" s="12" t="s">
        <v>81</v>
      </c>
      <c r="L236" s="8"/>
      <c r="M236" s="8"/>
    </row>
    <row r="237" ht="15.75" hidden="1" customHeight="1">
      <c r="A237" s="8" t="s">
        <v>1642</v>
      </c>
      <c r="B237" s="8" t="s">
        <v>1604</v>
      </c>
      <c r="C237" s="8" t="s">
        <v>1605</v>
      </c>
      <c r="D237" s="8" t="s">
        <v>1643</v>
      </c>
      <c r="E237" s="8" t="s">
        <v>1644</v>
      </c>
      <c r="F237" s="8" t="s">
        <v>1645</v>
      </c>
      <c r="G237" s="8" t="s">
        <v>102</v>
      </c>
      <c r="H237" s="8" t="s">
        <v>1646</v>
      </c>
      <c r="I237" s="8" t="s">
        <v>71</v>
      </c>
      <c r="J237" s="8" t="s">
        <v>73</v>
      </c>
      <c r="K237" s="12" t="s">
        <v>81</v>
      </c>
      <c r="L237" s="8"/>
      <c r="M237" s="8"/>
    </row>
    <row r="238" ht="15.75" hidden="1" customHeight="1">
      <c r="A238" s="6" t="s">
        <v>1647</v>
      </c>
      <c r="B238" s="6" t="s">
        <v>964</v>
      </c>
      <c r="C238" s="6" t="s">
        <v>965</v>
      </c>
      <c r="D238" s="6" t="s">
        <v>1648</v>
      </c>
      <c r="E238" s="6" t="s">
        <v>1649</v>
      </c>
      <c r="F238" s="6" t="s">
        <v>1650</v>
      </c>
      <c r="G238" s="6" t="s">
        <v>102</v>
      </c>
      <c r="H238" s="6" t="s">
        <v>1651</v>
      </c>
      <c r="I238" s="6" t="s">
        <v>105</v>
      </c>
      <c r="J238" s="6" t="s">
        <v>169</v>
      </c>
      <c r="K238" s="12" t="s">
        <v>81</v>
      </c>
      <c r="L238" s="6"/>
      <c r="M238" s="6" t="s">
        <v>1652</v>
      </c>
    </row>
    <row r="239" ht="15.75" hidden="1" customHeight="1">
      <c r="A239" s="6" t="s">
        <v>1653</v>
      </c>
      <c r="B239" s="6" t="s">
        <v>964</v>
      </c>
      <c r="C239" s="6" t="s">
        <v>965</v>
      </c>
      <c r="D239" s="6" t="s">
        <v>1654</v>
      </c>
      <c r="E239" s="6" t="s">
        <v>1655</v>
      </c>
      <c r="F239" s="6" t="s">
        <v>1656</v>
      </c>
      <c r="G239" s="6" t="s">
        <v>102</v>
      </c>
      <c r="H239" s="6" t="s">
        <v>1657</v>
      </c>
      <c r="I239" s="6" t="s">
        <v>168</v>
      </c>
      <c r="J239" s="6" t="s">
        <v>169</v>
      </c>
      <c r="K239" s="12" t="s">
        <v>81</v>
      </c>
      <c r="L239" s="6"/>
      <c r="M239" s="6"/>
    </row>
    <row r="240" ht="15.75" customHeight="1">
      <c r="A240" s="8" t="s">
        <v>1658</v>
      </c>
      <c r="B240" s="8" t="s">
        <v>1130</v>
      </c>
      <c r="C240" s="8" t="s">
        <v>1131</v>
      </c>
      <c r="D240" s="8" t="s">
        <v>1659</v>
      </c>
      <c r="E240" s="8" t="s">
        <v>1660</v>
      </c>
      <c r="F240" s="8" t="s">
        <v>1661</v>
      </c>
      <c r="G240" s="8" t="s">
        <v>102</v>
      </c>
      <c r="H240" s="8" t="s">
        <v>1662</v>
      </c>
      <c r="I240" s="8" t="s">
        <v>168</v>
      </c>
      <c r="J240" s="12" t="s">
        <v>169</v>
      </c>
      <c r="K240" s="12" t="s">
        <v>170</v>
      </c>
      <c r="L240" s="8"/>
      <c r="M240" s="8"/>
    </row>
    <row r="241" ht="15.75" customHeight="1">
      <c r="A241" s="29" t="s">
        <v>1663</v>
      </c>
      <c r="B241" s="29" t="s">
        <v>1130</v>
      </c>
      <c r="C241" s="29" t="s">
        <v>1131</v>
      </c>
      <c r="D241" s="29" t="s">
        <v>1664</v>
      </c>
      <c r="E241" s="29" t="s">
        <v>1665</v>
      </c>
      <c r="F241" s="29" t="s">
        <v>1666</v>
      </c>
      <c r="G241" s="29" t="s">
        <v>102</v>
      </c>
      <c r="H241" s="29" t="s">
        <v>1667</v>
      </c>
      <c r="I241" s="29" t="s">
        <v>71</v>
      </c>
      <c r="J241" s="29" t="s">
        <v>73</v>
      </c>
      <c r="K241" s="30" t="s">
        <v>170</v>
      </c>
      <c r="L241" s="29"/>
      <c r="M241" s="29"/>
      <c r="N241" s="31"/>
      <c r="O241" s="31"/>
      <c r="P241" s="31"/>
      <c r="Q241" s="31"/>
      <c r="R241" s="31"/>
      <c r="S241" s="31"/>
      <c r="T241" s="31"/>
      <c r="U241" s="31"/>
      <c r="V241" s="31"/>
      <c r="W241" s="31"/>
      <c r="X241" s="31"/>
      <c r="Y241" s="31"/>
      <c r="Z241" s="31"/>
    </row>
    <row r="242" ht="15.75" customHeight="1">
      <c r="A242" s="8" t="s">
        <v>1668</v>
      </c>
      <c r="B242" s="8" t="s">
        <v>1130</v>
      </c>
      <c r="C242" s="8" t="s">
        <v>1131</v>
      </c>
      <c r="D242" s="8" t="s">
        <v>1669</v>
      </c>
      <c r="E242" s="8" t="s">
        <v>1211</v>
      </c>
      <c r="F242" s="8" t="s">
        <v>1670</v>
      </c>
      <c r="G242" s="8" t="s">
        <v>102</v>
      </c>
      <c r="H242" s="8" t="s">
        <v>1671</v>
      </c>
      <c r="I242" s="8" t="s">
        <v>71</v>
      </c>
      <c r="J242" s="8" t="s">
        <v>73</v>
      </c>
      <c r="K242" s="12" t="s">
        <v>81</v>
      </c>
      <c r="L242" s="8"/>
      <c r="M242" s="8"/>
    </row>
    <row r="243" ht="15.75" customHeight="1">
      <c r="A243" s="8" t="s">
        <v>1672</v>
      </c>
      <c r="B243" s="8" t="s">
        <v>1130</v>
      </c>
      <c r="C243" s="8" t="s">
        <v>1131</v>
      </c>
      <c r="D243" s="8" t="s">
        <v>1673</v>
      </c>
      <c r="E243" s="8" t="s">
        <v>1674</v>
      </c>
      <c r="F243" s="8" t="s">
        <v>1675</v>
      </c>
      <c r="G243" s="8" t="s">
        <v>102</v>
      </c>
      <c r="H243" s="8" t="s">
        <v>1676</v>
      </c>
      <c r="I243" s="8" t="s">
        <v>71</v>
      </c>
      <c r="J243" s="8" t="s">
        <v>73</v>
      </c>
      <c r="K243" s="12" t="s">
        <v>81</v>
      </c>
      <c r="L243" s="8"/>
      <c r="M243" s="8"/>
    </row>
    <row r="244" ht="15.75" customHeight="1">
      <c r="A244" s="8" t="s">
        <v>1677</v>
      </c>
      <c r="B244" s="8" t="s">
        <v>1130</v>
      </c>
      <c r="C244" s="8" t="s">
        <v>1131</v>
      </c>
      <c r="D244" s="8" t="s">
        <v>1678</v>
      </c>
      <c r="E244" s="8" t="s">
        <v>1679</v>
      </c>
      <c r="F244" s="8" t="s">
        <v>857</v>
      </c>
      <c r="G244" s="8" t="s">
        <v>102</v>
      </c>
      <c r="H244" s="8" t="s">
        <v>1680</v>
      </c>
      <c r="I244" s="8" t="s">
        <v>105</v>
      </c>
      <c r="J244" s="8" t="s">
        <v>73</v>
      </c>
      <c r="K244" s="12" t="s">
        <v>81</v>
      </c>
      <c r="L244" s="8"/>
      <c r="M244" s="8"/>
    </row>
    <row r="245" ht="15.75" customHeight="1">
      <c r="A245" s="8" t="s">
        <v>1681</v>
      </c>
      <c r="B245" s="8" t="s">
        <v>1130</v>
      </c>
      <c r="C245" s="8" t="s">
        <v>1131</v>
      </c>
      <c r="D245" s="8" t="s">
        <v>1682</v>
      </c>
      <c r="E245" s="8" t="s">
        <v>1683</v>
      </c>
      <c r="F245" s="8" t="s">
        <v>1684</v>
      </c>
      <c r="G245" s="8" t="s">
        <v>102</v>
      </c>
      <c r="H245" s="8" t="s">
        <v>1685</v>
      </c>
      <c r="I245" s="8" t="s">
        <v>105</v>
      </c>
      <c r="J245" s="8" t="s">
        <v>73</v>
      </c>
      <c r="K245" s="12" t="s">
        <v>81</v>
      </c>
      <c r="L245" s="8"/>
      <c r="M245" s="12" t="s">
        <v>1686</v>
      </c>
    </row>
    <row r="246" ht="15.75" hidden="1" customHeight="1">
      <c r="A246" s="8" t="s">
        <v>1687</v>
      </c>
      <c r="B246" s="8" t="s">
        <v>1130</v>
      </c>
      <c r="C246" s="8" t="s">
        <v>1131</v>
      </c>
      <c r="D246" s="8" t="s">
        <v>1688</v>
      </c>
      <c r="E246" s="8" t="s">
        <v>1689</v>
      </c>
      <c r="F246" s="8" t="s">
        <v>990</v>
      </c>
      <c r="G246" s="8" t="s">
        <v>102</v>
      </c>
      <c r="H246" s="8" t="s">
        <v>1690</v>
      </c>
      <c r="I246" s="8" t="s">
        <v>105</v>
      </c>
      <c r="J246" s="8" t="s">
        <v>73</v>
      </c>
      <c r="K246" s="12" t="s">
        <v>81</v>
      </c>
      <c r="L246" s="8"/>
      <c r="M246" s="8"/>
    </row>
    <row r="247" ht="15.75" customHeight="1">
      <c r="A247" s="8" t="s">
        <v>1691</v>
      </c>
      <c r="B247" s="8" t="s">
        <v>1130</v>
      </c>
      <c r="C247" s="8" t="s">
        <v>1131</v>
      </c>
      <c r="D247" s="8" t="s">
        <v>1692</v>
      </c>
      <c r="E247" s="8" t="s">
        <v>1693</v>
      </c>
      <c r="F247" s="8" t="s">
        <v>1694</v>
      </c>
      <c r="G247" s="8" t="s">
        <v>102</v>
      </c>
      <c r="H247" s="8" t="s">
        <v>1695</v>
      </c>
      <c r="I247" s="8" t="s">
        <v>168</v>
      </c>
      <c r="J247" s="8" t="s">
        <v>73</v>
      </c>
      <c r="K247" s="12" t="s">
        <v>81</v>
      </c>
      <c r="L247" s="8"/>
      <c r="M247" s="8"/>
    </row>
    <row r="248" ht="15.75" customHeight="1">
      <c r="A248" s="8" t="s">
        <v>1696</v>
      </c>
      <c r="B248" s="8" t="s">
        <v>1130</v>
      </c>
      <c r="C248" s="8" t="s">
        <v>1131</v>
      </c>
      <c r="D248" s="8" t="s">
        <v>1697</v>
      </c>
      <c r="E248" s="8" t="s">
        <v>1698</v>
      </c>
      <c r="F248" s="8" t="s">
        <v>872</v>
      </c>
      <c r="G248" s="8" t="s">
        <v>102</v>
      </c>
      <c r="H248" s="8" t="s">
        <v>1699</v>
      </c>
      <c r="I248" s="8" t="s">
        <v>71</v>
      </c>
      <c r="J248" s="8" t="s">
        <v>73</v>
      </c>
      <c r="K248" s="12" t="s">
        <v>81</v>
      </c>
      <c r="L248" s="8"/>
      <c r="M248" s="8"/>
    </row>
    <row r="249" ht="15.75" customHeight="1">
      <c r="A249" s="8" t="s">
        <v>1700</v>
      </c>
      <c r="B249" s="8" t="s">
        <v>1130</v>
      </c>
      <c r="C249" s="8" t="s">
        <v>1131</v>
      </c>
      <c r="D249" s="8" t="s">
        <v>1701</v>
      </c>
      <c r="E249" s="8" t="s">
        <v>1702</v>
      </c>
      <c r="F249" s="8" t="s">
        <v>610</v>
      </c>
      <c r="G249" s="8" t="s">
        <v>102</v>
      </c>
      <c r="H249" s="8" t="s">
        <v>1703</v>
      </c>
      <c r="I249" s="8" t="s">
        <v>168</v>
      </c>
      <c r="J249" s="8" t="s">
        <v>169</v>
      </c>
      <c r="K249" s="12" t="s">
        <v>170</v>
      </c>
      <c r="L249" s="8"/>
      <c r="M249" s="8"/>
    </row>
    <row r="250" ht="15.75" hidden="1" customHeight="1">
      <c r="A250" s="8" t="s">
        <v>1704</v>
      </c>
      <c r="B250" s="8" t="s">
        <v>1130</v>
      </c>
      <c r="C250" s="8" t="s">
        <v>1131</v>
      </c>
      <c r="D250" s="8" t="s">
        <v>1705</v>
      </c>
      <c r="E250" s="8" t="s">
        <v>1706</v>
      </c>
      <c r="F250" s="8" t="s">
        <v>1707</v>
      </c>
      <c r="G250" s="8" t="s">
        <v>102</v>
      </c>
      <c r="H250" s="8" t="s">
        <v>1708</v>
      </c>
      <c r="I250" s="8" t="s">
        <v>71</v>
      </c>
      <c r="J250" s="8" t="s">
        <v>73</v>
      </c>
      <c r="K250" s="12" t="s">
        <v>81</v>
      </c>
      <c r="L250" s="8"/>
      <c r="M250" s="8"/>
    </row>
    <row r="251" ht="15.75" customHeight="1">
      <c r="A251" s="8" t="s">
        <v>1709</v>
      </c>
      <c r="B251" s="8" t="s">
        <v>1130</v>
      </c>
      <c r="C251" s="8" t="s">
        <v>1131</v>
      </c>
      <c r="D251" s="8" t="s">
        <v>1710</v>
      </c>
      <c r="E251" s="8" t="s">
        <v>1711</v>
      </c>
      <c r="F251" s="8" t="s">
        <v>1712</v>
      </c>
      <c r="G251" s="8" t="s">
        <v>102</v>
      </c>
      <c r="H251" s="8" t="s">
        <v>1713</v>
      </c>
      <c r="I251" s="8" t="s">
        <v>71</v>
      </c>
      <c r="J251" s="8" t="s">
        <v>73</v>
      </c>
      <c r="K251" s="12" t="s">
        <v>163</v>
      </c>
      <c r="L251" s="8"/>
      <c r="M251" s="8"/>
    </row>
    <row r="252" ht="15.75" hidden="1" customHeight="1">
      <c r="A252" s="8" t="s">
        <v>1714</v>
      </c>
      <c r="B252" s="8" t="s">
        <v>1130</v>
      </c>
      <c r="C252" s="8" t="s">
        <v>1131</v>
      </c>
      <c r="D252" s="8" t="s">
        <v>1715</v>
      </c>
      <c r="E252" s="8" t="s">
        <v>1716</v>
      </c>
      <c r="F252" s="8" t="s">
        <v>1717</v>
      </c>
      <c r="G252" s="8" t="s">
        <v>102</v>
      </c>
      <c r="H252" s="8" t="s">
        <v>1718</v>
      </c>
      <c r="I252" s="8" t="s">
        <v>71</v>
      </c>
      <c r="J252" s="8" t="s">
        <v>73</v>
      </c>
      <c r="K252" s="12" t="s">
        <v>81</v>
      </c>
      <c r="L252" s="8"/>
      <c r="M252" s="8"/>
    </row>
    <row r="253" ht="15.75" customHeight="1">
      <c r="A253" s="8" t="s">
        <v>1719</v>
      </c>
      <c r="B253" s="8" t="s">
        <v>1130</v>
      </c>
      <c r="C253" s="8" t="s">
        <v>1131</v>
      </c>
      <c r="D253" s="8" t="s">
        <v>1720</v>
      </c>
      <c r="E253" s="8" t="s">
        <v>1341</v>
      </c>
      <c r="F253" s="8" t="s">
        <v>1721</v>
      </c>
      <c r="G253" s="8" t="s">
        <v>102</v>
      </c>
      <c r="H253" s="8" t="s">
        <v>1722</v>
      </c>
      <c r="I253" s="8" t="s">
        <v>305</v>
      </c>
      <c r="J253" s="8" t="s">
        <v>73</v>
      </c>
      <c r="K253" s="12" t="s">
        <v>81</v>
      </c>
      <c r="L253" s="8"/>
      <c r="M253" s="8"/>
    </row>
    <row r="254" ht="15.75" customHeight="1">
      <c r="A254" s="8" t="s">
        <v>1723</v>
      </c>
      <c r="B254" s="8" t="s">
        <v>1130</v>
      </c>
      <c r="C254" s="8" t="s">
        <v>1131</v>
      </c>
      <c r="D254" s="8" t="s">
        <v>1724</v>
      </c>
      <c r="E254" s="8" t="s">
        <v>1725</v>
      </c>
      <c r="F254" s="8" t="s">
        <v>1178</v>
      </c>
      <c r="G254" s="8" t="s">
        <v>102</v>
      </c>
      <c r="H254" s="8" t="s">
        <v>1726</v>
      </c>
      <c r="I254" s="8" t="s">
        <v>71</v>
      </c>
      <c r="J254" s="8" t="s">
        <v>73</v>
      </c>
      <c r="K254" s="12" t="s">
        <v>163</v>
      </c>
      <c r="L254" s="8"/>
      <c r="M254" s="8"/>
    </row>
    <row r="255" ht="15.75" customHeight="1">
      <c r="A255" s="8" t="s">
        <v>1727</v>
      </c>
      <c r="B255" s="8" t="s">
        <v>1130</v>
      </c>
      <c r="C255" s="8" t="s">
        <v>1131</v>
      </c>
      <c r="D255" s="8" t="s">
        <v>1728</v>
      </c>
      <c r="E255" s="8" t="s">
        <v>1729</v>
      </c>
      <c r="F255" s="8" t="s">
        <v>1730</v>
      </c>
      <c r="G255" s="8" t="s">
        <v>102</v>
      </c>
      <c r="H255" s="8" t="s">
        <v>1731</v>
      </c>
      <c r="I255" s="8" t="s">
        <v>105</v>
      </c>
      <c r="J255" s="8" t="s">
        <v>73</v>
      </c>
      <c r="K255" s="12" t="s">
        <v>81</v>
      </c>
      <c r="L255" s="8"/>
      <c r="M255" s="8"/>
    </row>
    <row r="256" ht="15.75" hidden="1" customHeight="1">
      <c r="A256" s="6" t="s">
        <v>1732</v>
      </c>
      <c r="B256" s="6" t="s">
        <v>1130</v>
      </c>
      <c r="C256" s="6" t="s">
        <v>1131</v>
      </c>
      <c r="D256" s="6" t="s">
        <v>1733</v>
      </c>
      <c r="E256" s="6" t="s">
        <v>1734</v>
      </c>
      <c r="F256" s="6" t="s">
        <v>1735</v>
      </c>
      <c r="G256" s="6" t="s">
        <v>102</v>
      </c>
      <c r="H256" s="6" t="s">
        <v>1736</v>
      </c>
      <c r="I256" s="6" t="s">
        <v>71</v>
      </c>
      <c r="J256" s="6" t="s">
        <v>73</v>
      </c>
      <c r="K256" s="32" t="s">
        <v>81</v>
      </c>
      <c r="L256" s="6"/>
      <c r="M256" s="6"/>
    </row>
    <row r="257" ht="15.75" hidden="1" customHeight="1">
      <c r="A257" s="6" t="s">
        <v>1737</v>
      </c>
      <c r="B257" s="6" t="s">
        <v>1130</v>
      </c>
      <c r="C257" s="6" t="s">
        <v>1131</v>
      </c>
      <c r="D257" s="6" t="s">
        <v>1738</v>
      </c>
      <c r="E257" s="6" t="s">
        <v>1739</v>
      </c>
      <c r="F257" s="6" t="s">
        <v>1740</v>
      </c>
      <c r="G257" s="6" t="s">
        <v>102</v>
      </c>
      <c r="H257" s="6" t="s">
        <v>1741</v>
      </c>
      <c r="I257" s="6" t="s">
        <v>168</v>
      </c>
      <c r="J257" s="6" t="s">
        <v>73</v>
      </c>
      <c r="K257" s="32" t="s">
        <v>81</v>
      </c>
      <c r="L257" s="6"/>
      <c r="M257" s="6"/>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c r="E304" s="33" t="s">
        <v>1742</v>
      </c>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257">
    <filterColumn colId="10">
      <filters>
        <filter val="Fallido"/>
        <filter val="Pendiente"/>
      </filters>
    </filterColumn>
  </autoFilter>
  <dataValidations>
    <dataValidation type="list" allowBlank="1" sqref="K2:K257">
      <formula1>"Pendiente,Aprobado,Fallido,No aplica,Bloqueado"</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9.0"/>
    <col customWidth="1" min="2" max="2" width="11.0"/>
    <col customWidth="1" min="3" max="3" width="20.0"/>
    <col customWidth="1" min="4" max="4" width="34.0"/>
    <col customWidth="1" min="5" max="5" width="28.0"/>
    <col customWidth="1" min="6" max="6" width="44.0"/>
    <col customWidth="1" min="7" max="7" width="20.0"/>
    <col customWidth="1" min="8" max="8" width="44.0"/>
    <col customWidth="1" min="9" max="9" width="15.0"/>
    <col customWidth="1" min="10" max="11" width="13.0"/>
    <col customWidth="1" min="12" max="12" width="22.0"/>
    <col customWidth="1" min="13" max="13" width="28.0"/>
  </cols>
  <sheetData>
    <row r="1">
      <c r="A1" s="9" t="s">
        <v>20</v>
      </c>
      <c r="B1" s="9" t="s">
        <v>26</v>
      </c>
      <c r="C1" s="9" t="s">
        <v>28</v>
      </c>
      <c r="D1" s="9" t="s">
        <v>29</v>
      </c>
      <c r="E1" s="9" t="s">
        <v>32</v>
      </c>
      <c r="F1" s="9" t="s">
        <v>33</v>
      </c>
      <c r="G1" s="9" t="s">
        <v>36</v>
      </c>
      <c r="H1" s="9" t="s">
        <v>42</v>
      </c>
      <c r="I1" s="9" t="s">
        <v>44</v>
      </c>
      <c r="J1" s="9" t="s">
        <v>48</v>
      </c>
      <c r="K1" s="9" t="s">
        <v>50</v>
      </c>
      <c r="L1" s="9" t="s">
        <v>52</v>
      </c>
      <c r="M1" s="9" t="s">
        <v>54</v>
      </c>
    </row>
    <row r="2">
      <c r="A2" s="6" t="s">
        <v>209</v>
      </c>
      <c r="B2" s="6" t="s">
        <v>210</v>
      </c>
      <c r="C2" s="6" t="s">
        <v>211</v>
      </c>
      <c r="D2" s="6" t="s">
        <v>212</v>
      </c>
      <c r="E2" s="6" t="s">
        <v>213</v>
      </c>
      <c r="F2" s="6" t="s">
        <v>214</v>
      </c>
      <c r="G2" s="6" t="s">
        <v>102</v>
      </c>
      <c r="H2" s="6" t="s">
        <v>215</v>
      </c>
      <c r="I2" s="6" t="s">
        <v>71</v>
      </c>
      <c r="J2" s="6" t="s">
        <v>169</v>
      </c>
      <c r="K2" s="6" t="s">
        <v>170</v>
      </c>
      <c r="L2" s="6"/>
      <c r="M2" s="6"/>
    </row>
    <row r="3">
      <c r="A3" s="8" t="s">
        <v>216</v>
      </c>
      <c r="B3" s="8" t="s">
        <v>210</v>
      </c>
      <c r="C3" s="8" t="s">
        <v>211</v>
      </c>
      <c r="D3" s="8" t="s">
        <v>217</v>
      </c>
      <c r="E3" s="8" t="s">
        <v>218</v>
      </c>
      <c r="F3" s="8" t="s">
        <v>219</v>
      </c>
      <c r="G3" s="8" t="s">
        <v>102</v>
      </c>
      <c r="H3" s="8" t="s">
        <v>220</v>
      </c>
      <c r="I3" s="8" t="s">
        <v>71</v>
      </c>
      <c r="J3" s="8" t="s">
        <v>169</v>
      </c>
      <c r="K3" s="8" t="s">
        <v>170</v>
      </c>
      <c r="L3" s="8"/>
      <c r="M3" s="8"/>
    </row>
    <row r="4">
      <c r="A4" s="6" t="s">
        <v>221</v>
      </c>
      <c r="B4" s="6" t="s">
        <v>210</v>
      </c>
      <c r="C4" s="6" t="s">
        <v>211</v>
      </c>
      <c r="D4" s="6" t="s">
        <v>222</v>
      </c>
      <c r="E4" s="6" t="s">
        <v>223</v>
      </c>
      <c r="F4" s="6" t="s">
        <v>224</v>
      </c>
      <c r="G4" s="6" t="s">
        <v>225</v>
      </c>
      <c r="H4" s="6" t="s">
        <v>226</v>
      </c>
      <c r="I4" s="6" t="s">
        <v>105</v>
      </c>
      <c r="J4" s="6" t="s">
        <v>169</v>
      </c>
      <c r="K4" s="6" t="s">
        <v>170</v>
      </c>
      <c r="L4" s="6"/>
      <c r="M4" s="6"/>
    </row>
    <row r="5">
      <c r="A5" s="8" t="s">
        <v>227</v>
      </c>
      <c r="B5" s="8" t="s">
        <v>210</v>
      </c>
      <c r="C5" s="8" t="s">
        <v>228</v>
      </c>
      <c r="D5" s="8" t="s">
        <v>229</v>
      </c>
      <c r="E5" s="8" t="s">
        <v>230</v>
      </c>
      <c r="F5" s="8" t="s">
        <v>231</v>
      </c>
      <c r="G5" s="8" t="s">
        <v>232</v>
      </c>
      <c r="H5" s="8" t="s">
        <v>233</v>
      </c>
      <c r="I5" s="8" t="s">
        <v>168</v>
      </c>
      <c r="J5" s="8" t="s">
        <v>169</v>
      </c>
      <c r="K5" s="8" t="s">
        <v>170</v>
      </c>
      <c r="L5" s="8"/>
      <c r="M5" s="8"/>
    </row>
    <row r="6">
      <c r="A6" s="6" t="s">
        <v>234</v>
      </c>
      <c r="B6" s="6" t="s">
        <v>210</v>
      </c>
      <c r="C6" s="6" t="s">
        <v>228</v>
      </c>
      <c r="D6" s="6" t="s">
        <v>235</v>
      </c>
      <c r="E6" s="6" t="s">
        <v>230</v>
      </c>
      <c r="F6" s="6" t="s">
        <v>236</v>
      </c>
      <c r="G6" s="6" t="s">
        <v>237</v>
      </c>
      <c r="H6" s="6" t="s">
        <v>238</v>
      </c>
      <c r="I6" s="6" t="s">
        <v>168</v>
      </c>
      <c r="J6" s="6" t="s">
        <v>169</v>
      </c>
      <c r="K6" s="6" t="s">
        <v>170</v>
      </c>
      <c r="L6" s="6"/>
      <c r="M6" s="6"/>
    </row>
    <row r="7">
      <c r="A7" s="8" t="s">
        <v>239</v>
      </c>
      <c r="B7" s="8" t="s">
        <v>210</v>
      </c>
      <c r="C7" s="8" t="s">
        <v>228</v>
      </c>
      <c r="D7" s="8" t="s">
        <v>240</v>
      </c>
      <c r="E7" s="8" t="s">
        <v>241</v>
      </c>
      <c r="F7" s="8" t="s">
        <v>242</v>
      </c>
      <c r="G7" s="8" t="s">
        <v>102</v>
      </c>
      <c r="H7" s="8" t="s">
        <v>243</v>
      </c>
      <c r="I7" s="8" t="s">
        <v>105</v>
      </c>
      <c r="J7" s="8" t="s">
        <v>169</v>
      </c>
      <c r="K7" s="8" t="s">
        <v>170</v>
      </c>
      <c r="L7" s="8"/>
      <c r="M7" s="8"/>
    </row>
    <row r="8">
      <c r="A8" s="6" t="s">
        <v>244</v>
      </c>
      <c r="B8" s="6" t="s">
        <v>210</v>
      </c>
      <c r="C8" s="6" t="s">
        <v>228</v>
      </c>
      <c r="D8" s="6" t="s">
        <v>245</v>
      </c>
      <c r="E8" s="6" t="s">
        <v>246</v>
      </c>
      <c r="F8" s="6" t="s">
        <v>247</v>
      </c>
      <c r="G8" s="6" t="s">
        <v>102</v>
      </c>
      <c r="H8" s="6" t="s">
        <v>248</v>
      </c>
      <c r="I8" s="6" t="s">
        <v>105</v>
      </c>
      <c r="J8" s="6" t="s">
        <v>169</v>
      </c>
      <c r="K8" s="6" t="s">
        <v>170</v>
      </c>
      <c r="L8" s="6"/>
      <c r="M8" s="6"/>
    </row>
    <row r="9">
      <c r="A9" s="8" t="s">
        <v>249</v>
      </c>
      <c r="B9" s="8" t="s">
        <v>210</v>
      </c>
      <c r="C9" s="8" t="s">
        <v>228</v>
      </c>
      <c r="D9" s="8" t="s">
        <v>250</v>
      </c>
      <c r="E9" s="8" t="s">
        <v>251</v>
      </c>
      <c r="F9" s="8" t="s">
        <v>252</v>
      </c>
      <c r="G9" s="8" t="s">
        <v>102</v>
      </c>
      <c r="H9" s="8" t="s">
        <v>253</v>
      </c>
      <c r="I9" s="8" t="s">
        <v>71</v>
      </c>
      <c r="J9" s="8" t="s">
        <v>169</v>
      </c>
      <c r="K9" s="8" t="s">
        <v>170</v>
      </c>
      <c r="L9" s="8"/>
      <c r="M9" s="8"/>
    </row>
    <row r="10">
      <c r="A10" s="6" t="s">
        <v>254</v>
      </c>
      <c r="B10" s="6" t="s">
        <v>210</v>
      </c>
      <c r="C10" s="6" t="s">
        <v>228</v>
      </c>
      <c r="D10" s="6" t="s">
        <v>255</v>
      </c>
      <c r="E10" s="6" t="s">
        <v>251</v>
      </c>
      <c r="F10" s="6" t="s">
        <v>256</v>
      </c>
      <c r="G10" s="6" t="s">
        <v>102</v>
      </c>
      <c r="H10" s="6" t="s">
        <v>257</v>
      </c>
      <c r="I10" s="6" t="s">
        <v>105</v>
      </c>
      <c r="J10" s="6" t="s">
        <v>169</v>
      </c>
      <c r="K10" s="6" t="s">
        <v>170</v>
      </c>
      <c r="L10" s="6"/>
      <c r="M10" s="6"/>
    </row>
    <row r="11">
      <c r="A11" s="8" t="s">
        <v>258</v>
      </c>
      <c r="B11" s="8" t="s">
        <v>210</v>
      </c>
      <c r="C11" s="8" t="s">
        <v>228</v>
      </c>
      <c r="D11" s="8" t="s">
        <v>259</v>
      </c>
      <c r="E11" s="8" t="s">
        <v>102</v>
      </c>
      <c r="F11" s="8" t="s">
        <v>260</v>
      </c>
      <c r="G11" s="8" t="s">
        <v>102</v>
      </c>
      <c r="H11" s="8" t="s">
        <v>261</v>
      </c>
      <c r="I11" s="8" t="s">
        <v>105</v>
      </c>
      <c r="J11" s="8" t="s">
        <v>169</v>
      </c>
      <c r="K11" s="8" t="s">
        <v>170</v>
      </c>
      <c r="L11" s="8"/>
      <c r="M11" s="8"/>
    </row>
    <row r="12">
      <c r="A12" s="6" t="s">
        <v>262</v>
      </c>
      <c r="B12" s="6" t="s">
        <v>210</v>
      </c>
      <c r="C12" s="6" t="s">
        <v>228</v>
      </c>
      <c r="D12" s="6" t="s">
        <v>263</v>
      </c>
      <c r="E12" s="6" t="s">
        <v>264</v>
      </c>
      <c r="F12" s="6" t="s">
        <v>265</v>
      </c>
      <c r="G12" s="6" t="s">
        <v>102</v>
      </c>
      <c r="H12" s="6" t="s">
        <v>266</v>
      </c>
      <c r="I12" s="6" t="s">
        <v>71</v>
      </c>
      <c r="J12" s="6" t="s">
        <v>169</v>
      </c>
      <c r="K12" s="6" t="s">
        <v>170</v>
      </c>
      <c r="L12" s="6"/>
      <c r="M12" s="6"/>
    </row>
    <row r="13">
      <c r="A13" s="8" t="s">
        <v>267</v>
      </c>
      <c r="B13" s="8" t="s">
        <v>210</v>
      </c>
      <c r="C13" s="8" t="s">
        <v>270</v>
      </c>
      <c r="D13" s="8" t="s">
        <v>272</v>
      </c>
      <c r="E13" s="8" t="s">
        <v>274</v>
      </c>
      <c r="F13" s="8" t="s">
        <v>276</v>
      </c>
      <c r="G13" s="8" t="s">
        <v>102</v>
      </c>
      <c r="H13" s="8" t="s">
        <v>279</v>
      </c>
      <c r="I13" s="8" t="s">
        <v>71</v>
      </c>
      <c r="J13" s="8" t="s">
        <v>169</v>
      </c>
      <c r="K13" s="8" t="s">
        <v>170</v>
      </c>
      <c r="L13" s="8"/>
      <c r="M13" s="8"/>
    </row>
    <row r="14">
      <c r="A14" s="6" t="s">
        <v>283</v>
      </c>
      <c r="B14" s="6" t="s">
        <v>210</v>
      </c>
      <c r="C14" s="6" t="s">
        <v>270</v>
      </c>
      <c r="D14" s="6" t="s">
        <v>284</v>
      </c>
      <c r="E14" s="6" t="s">
        <v>285</v>
      </c>
      <c r="F14" s="6" t="s">
        <v>286</v>
      </c>
      <c r="G14" s="6" t="s">
        <v>102</v>
      </c>
      <c r="H14" s="6" t="s">
        <v>287</v>
      </c>
      <c r="I14" s="6" t="s">
        <v>105</v>
      </c>
      <c r="J14" s="6" t="s">
        <v>73</v>
      </c>
      <c r="K14" s="6" t="s">
        <v>170</v>
      </c>
      <c r="L14" s="6"/>
      <c r="M14" s="6"/>
    </row>
    <row r="15">
      <c r="A15" s="8" t="s">
        <v>289</v>
      </c>
      <c r="B15" s="8" t="s">
        <v>210</v>
      </c>
      <c r="C15" s="8" t="s">
        <v>270</v>
      </c>
      <c r="D15" s="8" t="s">
        <v>291</v>
      </c>
      <c r="E15" s="8" t="s">
        <v>293</v>
      </c>
      <c r="F15" s="8" t="s">
        <v>294</v>
      </c>
      <c r="G15" s="8" t="s">
        <v>102</v>
      </c>
      <c r="H15" s="8" t="s">
        <v>295</v>
      </c>
      <c r="I15" s="8" t="s">
        <v>71</v>
      </c>
      <c r="J15" s="8" t="s">
        <v>73</v>
      </c>
      <c r="K15" s="8" t="s">
        <v>170</v>
      </c>
      <c r="L15" s="8"/>
      <c r="M15" s="8"/>
    </row>
    <row r="16">
      <c r="A16" s="6" t="s">
        <v>297</v>
      </c>
      <c r="B16" s="6" t="s">
        <v>299</v>
      </c>
      <c r="C16" s="6" t="s">
        <v>301</v>
      </c>
      <c r="D16" s="6" t="s">
        <v>302</v>
      </c>
      <c r="E16" s="6" t="s">
        <v>102</v>
      </c>
      <c r="F16" s="6" t="s">
        <v>304</v>
      </c>
      <c r="G16" s="6" t="s">
        <v>102</v>
      </c>
      <c r="H16" s="6" t="s">
        <v>306</v>
      </c>
      <c r="I16" s="6" t="s">
        <v>168</v>
      </c>
      <c r="J16" s="6" t="s">
        <v>169</v>
      </c>
      <c r="K16" s="6" t="s">
        <v>170</v>
      </c>
      <c r="L16" s="6"/>
      <c r="M16" s="6"/>
    </row>
    <row r="17">
      <c r="A17" s="8" t="s">
        <v>309</v>
      </c>
      <c r="B17" s="8" t="s">
        <v>299</v>
      </c>
      <c r="C17" s="8" t="s">
        <v>301</v>
      </c>
      <c r="D17" s="8" t="s">
        <v>313</v>
      </c>
      <c r="E17" s="8" t="s">
        <v>315</v>
      </c>
      <c r="F17" s="8" t="s">
        <v>316</v>
      </c>
      <c r="G17" s="8" t="s">
        <v>102</v>
      </c>
      <c r="H17" s="8" t="s">
        <v>319</v>
      </c>
      <c r="I17" s="8" t="s">
        <v>168</v>
      </c>
      <c r="J17" s="8" t="s">
        <v>169</v>
      </c>
      <c r="K17" s="8" t="s">
        <v>170</v>
      </c>
      <c r="L17" s="8"/>
      <c r="M17" s="8"/>
    </row>
    <row r="18">
      <c r="A18" s="6" t="s">
        <v>323</v>
      </c>
      <c r="B18" s="6" t="s">
        <v>299</v>
      </c>
      <c r="C18" s="6" t="s">
        <v>301</v>
      </c>
      <c r="D18" s="6" t="s">
        <v>325</v>
      </c>
      <c r="E18" s="6" t="s">
        <v>327</v>
      </c>
      <c r="F18" s="6" t="s">
        <v>328</v>
      </c>
      <c r="G18" s="6" t="s">
        <v>102</v>
      </c>
      <c r="H18" s="6" t="s">
        <v>330</v>
      </c>
      <c r="I18" s="6" t="s">
        <v>168</v>
      </c>
      <c r="J18" s="6" t="s">
        <v>169</v>
      </c>
      <c r="K18" s="6" t="s">
        <v>170</v>
      </c>
      <c r="L18" s="6"/>
      <c r="M18" s="6"/>
    </row>
    <row r="19">
      <c r="A19" s="8" t="s">
        <v>335</v>
      </c>
      <c r="B19" s="8" t="s">
        <v>299</v>
      </c>
      <c r="C19" s="8" t="s">
        <v>301</v>
      </c>
      <c r="D19" s="8" t="s">
        <v>341</v>
      </c>
      <c r="E19" s="8" t="s">
        <v>343</v>
      </c>
      <c r="F19" s="8" t="s">
        <v>344</v>
      </c>
      <c r="G19" s="8" t="s">
        <v>102</v>
      </c>
      <c r="H19" s="8" t="s">
        <v>346</v>
      </c>
      <c r="I19" s="8" t="s">
        <v>168</v>
      </c>
      <c r="J19" s="8" t="s">
        <v>169</v>
      </c>
      <c r="K19" s="8" t="s">
        <v>170</v>
      </c>
      <c r="L19" s="8"/>
      <c r="M19" s="8"/>
    </row>
    <row r="20">
      <c r="A20" s="6" t="s">
        <v>351</v>
      </c>
      <c r="B20" s="6" t="s">
        <v>299</v>
      </c>
      <c r="C20" s="6" t="s">
        <v>354</v>
      </c>
      <c r="D20" s="6" t="s">
        <v>356</v>
      </c>
      <c r="E20" s="6" t="s">
        <v>102</v>
      </c>
      <c r="F20" s="6" t="s">
        <v>359</v>
      </c>
      <c r="G20" s="6" t="s">
        <v>360</v>
      </c>
      <c r="H20" s="6" t="s">
        <v>362</v>
      </c>
      <c r="I20" s="6" t="s">
        <v>105</v>
      </c>
      <c r="J20" s="6" t="s">
        <v>169</v>
      </c>
      <c r="K20" s="6" t="s">
        <v>170</v>
      </c>
      <c r="L20" s="6"/>
      <c r="M20" s="6"/>
    </row>
    <row r="21" ht="15.75" customHeight="1">
      <c r="A21" s="8" t="s">
        <v>369</v>
      </c>
      <c r="B21" s="8" t="s">
        <v>299</v>
      </c>
      <c r="C21" s="8" t="s">
        <v>354</v>
      </c>
      <c r="D21" s="8" t="s">
        <v>372</v>
      </c>
      <c r="E21" s="8" t="s">
        <v>102</v>
      </c>
      <c r="F21" s="8" t="s">
        <v>374</v>
      </c>
      <c r="G21" s="8" t="s">
        <v>102</v>
      </c>
      <c r="H21" s="8" t="s">
        <v>362</v>
      </c>
      <c r="I21" s="8" t="s">
        <v>105</v>
      </c>
      <c r="J21" s="8" t="s">
        <v>169</v>
      </c>
      <c r="K21" s="8" t="s">
        <v>170</v>
      </c>
      <c r="L21" s="8"/>
      <c r="M21" s="8"/>
    </row>
    <row r="22" ht="15.75" customHeight="1">
      <c r="A22" s="6" t="s">
        <v>379</v>
      </c>
      <c r="B22" s="6" t="s">
        <v>299</v>
      </c>
      <c r="C22" s="6" t="s">
        <v>354</v>
      </c>
      <c r="D22" s="6" t="s">
        <v>382</v>
      </c>
      <c r="E22" s="6" t="s">
        <v>384</v>
      </c>
      <c r="F22" s="6" t="s">
        <v>385</v>
      </c>
      <c r="G22" s="6" t="s">
        <v>102</v>
      </c>
      <c r="H22" s="6" t="s">
        <v>387</v>
      </c>
      <c r="I22" s="6" t="s">
        <v>168</v>
      </c>
      <c r="J22" s="6" t="s">
        <v>169</v>
      </c>
      <c r="K22" s="6" t="s">
        <v>170</v>
      </c>
      <c r="L22" s="6"/>
      <c r="M22" s="6"/>
    </row>
    <row r="23" ht="15.75" customHeight="1">
      <c r="A23" s="8" t="s">
        <v>390</v>
      </c>
      <c r="B23" s="8" t="s">
        <v>299</v>
      </c>
      <c r="C23" s="8" t="s">
        <v>354</v>
      </c>
      <c r="D23" s="8" t="s">
        <v>391</v>
      </c>
      <c r="E23" s="8" t="s">
        <v>393</v>
      </c>
      <c r="F23" s="8" t="s">
        <v>395</v>
      </c>
      <c r="G23" s="8" t="s">
        <v>102</v>
      </c>
      <c r="H23" s="8" t="s">
        <v>398</v>
      </c>
      <c r="I23" s="8" t="s">
        <v>168</v>
      </c>
      <c r="J23" s="8" t="s">
        <v>169</v>
      </c>
      <c r="K23" s="8" t="s">
        <v>170</v>
      </c>
      <c r="L23" s="8"/>
      <c r="M23" s="8"/>
    </row>
    <row r="24" ht="15.75" customHeight="1">
      <c r="A24" s="6" t="s">
        <v>402</v>
      </c>
      <c r="B24" s="6" t="s">
        <v>299</v>
      </c>
      <c r="C24" s="6" t="s">
        <v>354</v>
      </c>
      <c r="D24" s="6" t="s">
        <v>403</v>
      </c>
      <c r="E24" s="6" t="s">
        <v>102</v>
      </c>
      <c r="F24" s="6" t="s">
        <v>405</v>
      </c>
      <c r="G24" s="6" t="s">
        <v>102</v>
      </c>
      <c r="H24" s="6" t="s">
        <v>408</v>
      </c>
      <c r="I24" s="6" t="s">
        <v>168</v>
      </c>
      <c r="J24" s="6" t="s">
        <v>169</v>
      </c>
      <c r="K24" s="6" t="s">
        <v>170</v>
      </c>
      <c r="L24" s="6"/>
      <c r="M24" s="6"/>
    </row>
    <row r="25" ht="15.75" customHeight="1">
      <c r="A25" s="8" t="s">
        <v>412</v>
      </c>
      <c r="B25" s="8" t="s">
        <v>299</v>
      </c>
      <c r="C25" s="8" t="s">
        <v>354</v>
      </c>
      <c r="D25" s="8" t="s">
        <v>414</v>
      </c>
      <c r="E25" s="8" t="s">
        <v>415</v>
      </c>
      <c r="F25" s="8" t="s">
        <v>417</v>
      </c>
      <c r="G25" s="8" t="s">
        <v>102</v>
      </c>
      <c r="H25" s="8" t="s">
        <v>419</v>
      </c>
      <c r="I25" s="8" t="s">
        <v>168</v>
      </c>
      <c r="J25" s="8" t="s">
        <v>169</v>
      </c>
      <c r="K25" s="8" t="s">
        <v>170</v>
      </c>
      <c r="L25" s="8"/>
      <c r="M25" s="8"/>
    </row>
    <row r="26" ht="15.75" customHeight="1">
      <c r="A26" s="6" t="s">
        <v>421</v>
      </c>
      <c r="B26" s="6" t="s">
        <v>299</v>
      </c>
      <c r="C26" s="6" t="s">
        <v>354</v>
      </c>
      <c r="D26" s="6" t="s">
        <v>425</v>
      </c>
      <c r="E26" s="6" t="s">
        <v>274</v>
      </c>
      <c r="F26" s="6" t="s">
        <v>428</v>
      </c>
      <c r="G26" s="6" t="s">
        <v>102</v>
      </c>
      <c r="H26" s="6" t="s">
        <v>430</v>
      </c>
      <c r="I26" s="6" t="s">
        <v>71</v>
      </c>
      <c r="J26" s="6" t="s">
        <v>169</v>
      </c>
      <c r="K26" s="6" t="s">
        <v>170</v>
      </c>
      <c r="L26" s="6"/>
      <c r="M26" s="6"/>
    </row>
    <row r="27" ht="15.75" customHeight="1">
      <c r="A27" s="8" t="s">
        <v>432</v>
      </c>
      <c r="B27" s="8" t="s">
        <v>299</v>
      </c>
      <c r="C27" s="8" t="s">
        <v>434</v>
      </c>
      <c r="D27" s="8" t="s">
        <v>435</v>
      </c>
      <c r="E27" s="8" t="s">
        <v>274</v>
      </c>
      <c r="F27" s="8" t="s">
        <v>436</v>
      </c>
      <c r="G27" s="8" t="s">
        <v>102</v>
      </c>
      <c r="H27" s="8" t="s">
        <v>439</v>
      </c>
      <c r="I27" s="8" t="s">
        <v>168</v>
      </c>
      <c r="J27" s="8" t="s">
        <v>169</v>
      </c>
      <c r="K27" s="8" t="s">
        <v>170</v>
      </c>
      <c r="L27" s="8"/>
      <c r="M27" s="8"/>
    </row>
    <row r="28" ht="15.75" customHeight="1">
      <c r="A28" s="6" t="s">
        <v>442</v>
      </c>
      <c r="B28" s="6" t="s">
        <v>299</v>
      </c>
      <c r="C28" s="6" t="s">
        <v>434</v>
      </c>
      <c r="D28" s="6" t="s">
        <v>443</v>
      </c>
      <c r="E28" s="6" t="s">
        <v>444</v>
      </c>
      <c r="F28" s="6" t="s">
        <v>445</v>
      </c>
      <c r="G28" s="6" t="s">
        <v>102</v>
      </c>
      <c r="H28" s="6" t="s">
        <v>447</v>
      </c>
      <c r="I28" s="6" t="s">
        <v>168</v>
      </c>
      <c r="J28" s="6" t="s">
        <v>73</v>
      </c>
      <c r="K28" s="6" t="s">
        <v>170</v>
      </c>
      <c r="L28" s="6"/>
      <c r="M28" s="6"/>
    </row>
    <row r="29" ht="15.75" customHeight="1">
      <c r="A29" s="8" t="s">
        <v>451</v>
      </c>
      <c r="B29" s="8" t="s">
        <v>299</v>
      </c>
      <c r="C29" s="8" t="s">
        <v>434</v>
      </c>
      <c r="D29" s="8" t="s">
        <v>454</v>
      </c>
      <c r="E29" s="8" t="s">
        <v>455</v>
      </c>
      <c r="F29" s="8" t="s">
        <v>457</v>
      </c>
      <c r="G29" s="8" t="s">
        <v>102</v>
      </c>
      <c r="H29" s="8" t="s">
        <v>458</v>
      </c>
      <c r="I29" s="8" t="s">
        <v>168</v>
      </c>
      <c r="J29" s="8" t="s">
        <v>73</v>
      </c>
      <c r="K29" s="8" t="s">
        <v>170</v>
      </c>
      <c r="L29" s="8"/>
      <c r="M29" s="8"/>
    </row>
    <row r="30" ht="15.75" customHeight="1">
      <c r="A30" s="6" t="s">
        <v>460</v>
      </c>
      <c r="B30" s="6" t="s">
        <v>299</v>
      </c>
      <c r="C30" s="6" t="s">
        <v>462</v>
      </c>
      <c r="D30" s="6" t="s">
        <v>465</v>
      </c>
      <c r="E30" s="6" t="s">
        <v>466</v>
      </c>
      <c r="F30" s="6" t="s">
        <v>469</v>
      </c>
      <c r="G30" s="6" t="s">
        <v>102</v>
      </c>
      <c r="H30" s="6" t="s">
        <v>470</v>
      </c>
      <c r="I30" s="6" t="s">
        <v>168</v>
      </c>
      <c r="J30" s="6" t="s">
        <v>73</v>
      </c>
      <c r="K30" s="6" t="s">
        <v>170</v>
      </c>
      <c r="L30" s="6"/>
      <c r="M30" s="6"/>
    </row>
    <row r="31" ht="15.75" customHeight="1">
      <c r="A31" s="8" t="s">
        <v>475</v>
      </c>
      <c r="B31" s="8" t="s">
        <v>299</v>
      </c>
      <c r="C31" s="8" t="s">
        <v>462</v>
      </c>
      <c r="D31" s="8" t="s">
        <v>478</v>
      </c>
      <c r="E31" s="8" t="s">
        <v>479</v>
      </c>
      <c r="F31" s="8" t="s">
        <v>481</v>
      </c>
      <c r="G31" s="8" t="s">
        <v>102</v>
      </c>
      <c r="H31" s="8" t="s">
        <v>483</v>
      </c>
      <c r="I31" s="8" t="s">
        <v>168</v>
      </c>
      <c r="J31" s="8" t="s">
        <v>73</v>
      </c>
      <c r="K31" s="8" t="s">
        <v>170</v>
      </c>
      <c r="L31" s="8"/>
      <c r="M31" s="8"/>
    </row>
    <row r="32" ht="15.75" customHeight="1">
      <c r="A32" s="6" t="s">
        <v>487</v>
      </c>
      <c r="B32" s="6" t="s">
        <v>299</v>
      </c>
      <c r="C32" s="6" t="s">
        <v>462</v>
      </c>
      <c r="D32" s="6" t="s">
        <v>488</v>
      </c>
      <c r="E32" s="6" t="s">
        <v>489</v>
      </c>
      <c r="F32" s="6" t="s">
        <v>491</v>
      </c>
      <c r="G32" s="6" t="s">
        <v>102</v>
      </c>
      <c r="H32" s="6" t="s">
        <v>492</v>
      </c>
      <c r="I32" s="6" t="s">
        <v>168</v>
      </c>
      <c r="J32" s="6" t="s">
        <v>169</v>
      </c>
      <c r="K32" s="6" t="s">
        <v>170</v>
      </c>
      <c r="L32" s="6"/>
      <c r="M32" s="6"/>
    </row>
    <row r="33" ht="15.75" customHeight="1">
      <c r="A33" s="8" t="s">
        <v>497</v>
      </c>
      <c r="B33" s="8" t="s">
        <v>299</v>
      </c>
      <c r="C33" s="8" t="s">
        <v>462</v>
      </c>
      <c r="D33" s="8" t="s">
        <v>499</v>
      </c>
      <c r="E33" s="8" t="s">
        <v>489</v>
      </c>
      <c r="F33" s="8" t="s">
        <v>500</v>
      </c>
      <c r="G33" s="8" t="s">
        <v>102</v>
      </c>
      <c r="H33" s="8" t="s">
        <v>501</v>
      </c>
      <c r="I33" s="8" t="s">
        <v>168</v>
      </c>
      <c r="J33" s="8" t="s">
        <v>169</v>
      </c>
      <c r="K33" s="8" t="s">
        <v>170</v>
      </c>
      <c r="L33" s="8"/>
      <c r="M33" s="8"/>
    </row>
    <row r="34" ht="15.75" customHeight="1">
      <c r="A34" s="6" t="s">
        <v>506</v>
      </c>
      <c r="B34" s="6" t="s">
        <v>299</v>
      </c>
      <c r="C34" s="6" t="s">
        <v>462</v>
      </c>
      <c r="D34" s="6" t="s">
        <v>510</v>
      </c>
      <c r="E34" s="6" t="s">
        <v>512</v>
      </c>
      <c r="F34" s="6" t="s">
        <v>513</v>
      </c>
      <c r="G34" s="6" t="s">
        <v>102</v>
      </c>
      <c r="H34" s="6" t="s">
        <v>515</v>
      </c>
      <c r="I34" s="6" t="s">
        <v>105</v>
      </c>
      <c r="J34" s="6" t="s">
        <v>73</v>
      </c>
      <c r="K34" s="6" t="s">
        <v>170</v>
      </c>
      <c r="L34" s="6"/>
      <c r="M34" s="6"/>
    </row>
    <row r="35" ht="15.75" customHeight="1">
      <c r="A35" s="8" t="s">
        <v>519</v>
      </c>
      <c r="B35" s="8" t="s">
        <v>299</v>
      </c>
      <c r="C35" s="8" t="s">
        <v>462</v>
      </c>
      <c r="D35" s="8" t="s">
        <v>521</v>
      </c>
      <c r="E35" s="8" t="s">
        <v>523</v>
      </c>
      <c r="F35" s="8" t="s">
        <v>524</v>
      </c>
      <c r="G35" s="8" t="s">
        <v>102</v>
      </c>
      <c r="H35" s="8" t="s">
        <v>526</v>
      </c>
      <c r="I35" s="8" t="s">
        <v>105</v>
      </c>
      <c r="J35" s="8" t="s">
        <v>73</v>
      </c>
      <c r="K35" s="8" t="s">
        <v>170</v>
      </c>
      <c r="L35" s="8"/>
      <c r="M35" s="8"/>
    </row>
    <row r="36" ht="15.75" customHeight="1">
      <c r="A36" s="6" t="s">
        <v>531</v>
      </c>
      <c r="B36" s="6" t="s">
        <v>299</v>
      </c>
      <c r="C36" s="6" t="s">
        <v>532</v>
      </c>
      <c r="D36" s="6" t="s">
        <v>533</v>
      </c>
      <c r="E36" s="6" t="s">
        <v>535</v>
      </c>
      <c r="F36" s="6" t="s">
        <v>536</v>
      </c>
      <c r="G36" s="6" t="s">
        <v>102</v>
      </c>
      <c r="H36" s="6" t="s">
        <v>538</v>
      </c>
      <c r="I36" s="6" t="s">
        <v>105</v>
      </c>
      <c r="J36" s="6" t="s">
        <v>73</v>
      </c>
      <c r="K36" s="6" t="s">
        <v>170</v>
      </c>
      <c r="L36" s="6"/>
      <c r="M36" s="6"/>
    </row>
    <row r="37" ht="15.75" customHeight="1">
      <c r="A37" s="8" t="s">
        <v>544</v>
      </c>
      <c r="B37" s="8" t="s">
        <v>545</v>
      </c>
      <c r="C37" s="8" t="s">
        <v>546</v>
      </c>
      <c r="D37" s="8" t="s">
        <v>547</v>
      </c>
      <c r="E37" s="8" t="s">
        <v>179</v>
      </c>
      <c r="F37" s="8" t="s">
        <v>180</v>
      </c>
      <c r="G37" s="8" t="s">
        <v>102</v>
      </c>
      <c r="H37" s="8" t="s">
        <v>548</v>
      </c>
      <c r="I37" s="8" t="s">
        <v>105</v>
      </c>
      <c r="J37" s="8" t="s">
        <v>73</v>
      </c>
      <c r="K37" s="8" t="s">
        <v>170</v>
      </c>
      <c r="L37" s="8"/>
      <c r="M37" s="8"/>
    </row>
    <row r="38" ht="15.75" customHeight="1">
      <c r="A38" s="6" t="s">
        <v>553</v>
      </c>
      <c r="B38" s="6" t="s">
        <v>545</v>
      </c>
      <c r="C38" s="6" t="s">
        <v>546</v>
      </c>
      <c r="D38" s="6" t="s">
        <v>555</v>
      </c>
      <c r="E38" s="6" t="s">
        <v>264</v>
      </c>
      <c r="F38" s="6" t="s">
        <v>556</v>
      </c>
      <c r="G38" s="6" t="s">
        <v>102</v>
      </c>
      <c r="H38" s="6" t="s">
        <v>557</v>
      </c>
      <c r="I38" s="6" t="s">
        <v>168</v>
      </c>
      <c r="J38" s="6" t="s">
        <v>169</v>
      </c>
      <c r="K38" s="6" t="s">
        <v>170</v>
      </c>
      <c r="L38" s="6"/>
      <c r="M38" s="6"/>
    </row>
    <row r="39" ht="15.75" customHeight="1">
      <c r="A39" s="8" t="s">
        <v>559</v>
      </c>
      <c r="B39" s="8" t="s">
        <v>545</v>
      </c>
      <c r="C39" s="8" t="s">
        <v>546</v>
      </c>
      <c r="D39" s="8" t="s">
        <v>561</v>
      </c>
      <c r="E39" s="8" t="s">
        <v>274</v>
      </c>
      <c r="F39" s="8" t="s">
        <v>562</v>
      </c>
      <c r="G39" s="8" t="s">
        <v>102</v>
      </c>
      <c r="H39" s="8" t="s">
        <v>564</v>
      </c>
      <c r="I39" s="8" t="s">
        <v>168</v>
      </c>
      <c r="J39" s="8" t="s">
        <v>169</v>
      </c>
      <c r="K39" s="8" t="s">
        <v>170</v>
      </c>
      <c r="L39" s="8"/>
      <c r="M39" s="8"/>
    </row>
    <row r="40" ht="15.75" customHeight="1">
      <c r="A40" s="6" t="s">
        <v>567</v>
      </c>
      <c r="B40" s="6" t="s">
        <v>545</v>
      </c>
      <c r="C40" s="6" t="s">
        <v>546</v>
      </c>
      <c r="D40" s="6" t="s">
        <v>569</v>
      </c>
      <c r="E40" s="6" t="s">
        <v>415</v>
      </c>
      <c r="F40" s="6" t="s">
        <v>570</v>
      </c>
      <c r="G40" s="6" t="s">
        <v>102</v>
      </c>
      <c r="H40" s="6" t="s">
        <v>572</v>
      </c>
      <c r="I40" s="6" t="s">
        <v>168</v>
      </c>
      <c r="J40" s="6" t="s">
        <v>169</v>
      </c>
      <c r="K40" s="6" t="s">
        <v>170</v>
      </c>
      <c r="L40" s="6"/>
      <c r="M40" s="6"/>
    </row>
    <row r="41" ht="15.75" customHeight="1">
      <c r="A41" s="8" t="s">
        <v>577</v>
      </c>
      <c r="B41" s="8" t="s">
        <v>545</v>
      </c>
      <c r="C41" s="8" t="s">
        <v>546</v>
      </c>
      <c r="D41" s="8" t="s">
        <v>578</v>
      </c>
      <c r="E41" s="8" t="s">
        <v>415</v>
      </c>
      <c r="F41" s="8" t="s">
        <v>579</v>
      </c>
      <c r="G41" s="8" t="s">
        <v>102</v>
      </c>
      <c r="H41" s="8" t="s">
        <v>581</v>
      </c>
      <c r="I41" s="8" t="s">
        <v>168</v>
      </c>
      <c r="J41" s="8" t="s">
        <v>169</v>
      </c>
      <c r="K41" s="8" t="s">
        <v>170</v>
      </c>
      <c r="L41" s="8"/>
      <c r="M41" s="8"/>
    </row>
    <row r="42" ht="15.75" customHeight="1">
      <c r="A42" s="6" t="s">
        <v>587</v>
      </c>
      <c r="B42" s="6" t="s">
        <v>545</v>
      </c>
      <c r="C42" s="6" t="s">
        <v>546</v>
      </c>
      <c r="D42" s="6" t="s">
        <v>589</v>
      </c>
      <c r="E42" s="6" t="s">
        <v>590</v>
      </c>
      <c r="F42" s="6" t="s">
        <v>591</v>
      </c>
      <c r="G42" s="6" t="s">
        <v>102</v>
      </c>
      <c r="H42" s="6" t="s">
        <v>592</v>
      </c>
      <c r="I42" s="6" t="s">
        <v>71</v>
      </c>
      <c r="J42" s="6" t="s">
        <v>73</v>
      </c>
      <c r="K42" s="6" t="s">
        <v>170</v>
      </c>
      <c r="L42" s="6"/>
      <c r="M42" s="6"/>
    </row>
    <row r="43" ht="15.75" customHeight="1">
      <c r="A43" s="8" t="s">
        <v>597</v>
      </c>
      <c r="B43" s="8" t="s">
        <v>545</v>
      </c>
      <c r="C43" s="8" t="s">
        <v>546</v>
      </c>
      <c r="D43" s="8" t="s">
        <v>599</v>
      </c>
      <c r="E43" s="8" t="s">
        <v>600</v>
      </c>
      <c r="F43" s="8" t="s">
        <v>602</v>
      </c>
      <c r="G43" s="8" t="s">
        <v>102</v>
      </c>
      <c r="H43" s="8" t="s">
        <v>603</v>
      </c>
      <c r="I43" s="8" t="s">
        <v>105</v>
      </c>
      <c r="J43" s="8" t="s">
        <v>73</v>
      </c>
      <c r="K43" s="8" t="s">
        <v>170</v>
      </c>
      <c r="L43" s="8"/>
      <c r="M43" s="8"/>
    </row>
    <row r="44" ht="15.75" customHeight="1">
      <c r="A44" s="6" t="s">
        <v>606</v>
      </c>
      <c r="B44" s="6" t="s">
        <v>545</v>
      </c>
      <c r="C44" s="6" t="s">
        <v>546</v>
      </c>
      <c r="D44" s="6" t="s">
        <v>607</v>
      </c>
      <c r="E44" s="6" t="s">
        <v>608</v>
      </c>
      <c r="F44" s="6" t="s">
        <v>610</v>
      </c>
      <c r="G44" s="6" t="s">
        <v>102</v>
      </c>
      <c r="H44" s="6" t="s">
        <v>611</v>
      </c>
      <c r="I44" s="6" t="s">
        <v>105</v>
      </c>
      <c r="J44" s="6" t="s">
        <v>73</v>
      </c>
      <c r="K44" s="6" t="s">
        <v>170</v>
      </c>
      <c r="L44" s="6"/>
      <c r="M44" s="6"/>
    </row>
    <row r="45" ht="15.75" customHeight="1">
      <c r="A45" s="8" t="s">
        <v>615</v>
      </c>
      <c r="B45" s="8" t="s">
        <v>545</v>
      </c>
      <c r="C45" s="8" t="s">
        <v>546</v>
      </c>
      <c r="D45" s="8" t="s">
        <v>616</v>
      </c>
      <c r="E45" s="8" t="s">
        <v>617</v>
      </c>
      <c r="F45" s="8" t="s">
        <v>619</v>
      </c>
      <c r="G45" s="8" t="s">
        <v>102</v>
      </c>
      <c r="H45" s="8" t="s">
        <v>572</v>
      </c>
      <c r="I45" s="8" t="s">
        <v>105</v>
      </c>
      <c r="J45" s="8" t="s">
        <v>169</v>
      </c>
      <c r="K45" s="8" t="s">
        <v>170</v>
      </c>
      <c r="L45" s="8"/>
      <c r="M45" s="8"/>
    </row>
    <row r="46" ht="15.75" customHeight="1">
      <c r="A46" s="6" t="s">
        <v>625</v>
      </c>
      <c r="B46" s="6" t="s">
        <v>626</v>
      </c>
      <c r="C46" s="6" t="s">
        <v>627</v>
      </c>
      <c r="D46" s="6" t="s">
        <v>628</v>
      </c>
      <c r="E46" s="6" t="s">
        <v>274</v>
      </c>
      <c r="F46" s="6" t="s">
        <v>629</v>
      </c>
      <c r="G46" s="6" t="s">
        <v>102</v>
      </c>
      <c r="H46" s="6" t="s">
        <v>631</v>
      </c>
      <c r="I46" s="6" t="s">
        <v>71</v>
      </c>
      <c r="J46" s="6" t="s">
        <v>169</v>
      </c>
      <c r="K46" s="6" t="s">
        <v>170</v>
      </c>
      <c r="L46" s="6"/>
      <c r="M46" s="6"/>
    </row>
    <row r="47" ht="15.75" customHeight="1">
      <c r="A47" s="8" t="s">
        <v>633</v>
      </c>
      <c r="B47" s="8" t="s">
        <v>626</v>
      </c>
      <c r="C47" s="8" t="s">
        <v>627</v>
      </c>
      <c r="D47" s="8" t="s">
        <v>634</v>
      </c>
      <c r="E47" s="8" t="s">
        <v>274</v>
      </c>
      <c r="F47" s="8" t="s">
        <v>635</v>
      </c>
      <c r="G47" s="8" t="s">
        <v>102</v>
      </c>
      <c r="H47" s="8" t="s">
        <v>636</v>
      </c>
      <c r="I47" s="8" t="s">
        <v>71</v>
      </c>
      <c r="J47" s="8" t="s">
        <v>169</v>
      </c>
      <c r="K47" s="8" t="s">
        <v>170</v>
      </c>
      <c r="L47" s="8"/>
      <c r="M47" s="8"/>
    </row>
    <row r="48" ht="15.75" customHeight="1">
      <c r="A48" s="6" t="s">
        <v>639</v>
      </c>
      <c r="B48" s="6" t="s">
        <v>626</v>
      </c>
      <c r="C48" s="6" t="s">
        <v>627</v>
      </c>
      <c r="D48" s="6" t="s">
        <v>640</v>
      </c>
      <c r="E48" s="6" t="s">
        <v>274</v>
      </c>
      <c r="F48" s="6" t="s">
        <v>642</v>
      </c>
      <c r="G48" s="6" t="s">
        <v>102</v>
      </c>
      <c r="H48" s="6" t="s">
        <v>643</v>
      </c>
      <c r="I48" s="6" t="s">
        <v>305</v>
      </c>
      <c r="J48" s="6" t="s">
        <v>169</v>
      </c>
      <c r="K48" s="6" t="s">
        <v>170</v>
      </c>
      <c r="L48" s="6"/>
      <c r="M48" s="6"/>
    </row>
    <row r="49" ht="15.75" customHeight="1">
      <c r="A49" s="8" t="s">
        <v>646</v>
      </c>
      <c r="B49" s="8" t="s">
        <v>626</v>
      </c>
      <c r="C49" s="8" t="s">
        <v>627</v>
      </c>
      <c r="D49" s="8" t="s">
        <v>648</v>
      </c>
      <c r="E49" s="8" t="s">
        <v>274</v>
      </c>
      <c r="F49" s="8" t="s">
        <v>649</v>
      </c>
      <c r="G49" s="8" t="s">
        <v>102</v>
      </c>
      <c r="H49" s="8" t="s">
        <v>651</v>
      </c>
      <c r="I49" s="8" t="s">
        <v>71</v>
      </c>
      <c r="J49" s="8" t="s">
        <v>169</v>
      </c>
      <c r="K49" s="8" t="s">
        <v>170</v>
      </c>
      <c r="L49" s="8"/>
      <c r="M49" s="8"/>
    </row>
    <row r="50" ht="15.75" customHeight="1">
      <c r="A50" s="6" t="s">
        <v>653</v>
      </c>
      <c r="B50" s="6" t="s">
        <v>626</v>
      </c>
      <c r="C50" s="6" t="s">
        <v>627</v>
      </c>
      <c r="D50" s="6" t="s">
        <v>654</v>
      </c>
      <c r="E50" s="6" t="s">
        <v>274</v>
      </c>
      <c r="F50" s="6" t="s">
        <v>655</v>
      </c>
      <c r="G50" s="6" t="s">
        <v>102</v>
      </c>
      <c r="H50" s="6" t="s">
        <v>657</v>
      </c>
      <c r="I50" s="6" t="s">
        <v>71</v>
      </c>
      <c r="J50" s="6" t="s">
        <v>431</v>
      </c>
      <c r="K50" s="6" t="s">
        <v>170</v>
      </c>
      <c r="L50" s="6"/>
      <c r="M50" s="6"/>
    </row>
    <row r="51" ht="15.75" customHeight="1">
      <c r="A51" s="8" t="s">
        <v>661</v>
      </c>
      <c r="B51" s="8" t="s">
        <v>626</v>
      </c>
      <c r="C51" s="8" t="s">
        <v>627</v>
      </c>
      <c r="D51" s="8" t="s">
        <v>663</v>
      </c>
      <c r="E51" s="8" t="s">
        <v>274</v>
      </c>
      <c r="F51" s="8" t="s">
        <v>664</v>
      </c>
      <c r="G51" s="8" t="s">
        <v>102</v>
      </c>
      <c r="H51" s="8" t="s">
        <v>665</v>
      </c>
      <c r="I51" s="8" t="s">
        <v>71</v>
      </c>
      <c r="J51" s="8" t="s">
        <v>169</v>
      </c>
      <c r="K51" s="8" t="s">
        <v>170</v>
      </c>
      <c r="L51" s="8"/>
      <c r="M51" s="8"/>
    </row>
    <row r="52" ht="15.75" customHeight="1">
      <c r="A52" s="6" t="s">
        <v>669</v>
      </c>
      <c r="B52" s="6" t="s">
        <v>626</v>
      </c>
      <c r="C52" s="6" t="s">
        <v>627</v>
      </c>
      <c r="D52" s="6" t="s">
        <v>671</v>
      </c>
      <c r="E52" s="6" t="s">
        <v>274</v>
      </c>
      <c r="F52" s="6" t="s">
        <v>673</v>
      </c>
      <c r="G52" s="6" t="s">
        <v>102</v>
      </c>
      <c r="H52" s="6" t="s">
        <v>674</v>
      </c>
      <c r="I52" s="6" t="s">
        <v>71</v>
      </c>
      <c r="J52" s="6" t="s">
        <v>169</v>
      </c>
      <c r="K52" s="6" t="s">
        <v>170</v>
      </c>
      <c r="L52" s="6"/>
      <c r="M52" s="6"/>
    </row>
    <row r="53" ht="15.75" customHeight="1">
      <c r="A53" s="8" t="s">
        <v>677</v>
      </c>
      <c r="B53" s="8" t="s">
        <v>626</v>
      </c>
      <c r="C53" s="8" t="s">
        <v>627</v>
      </c>
      <c r="D53" s="8" t="s">
        <v>680</v>
      </c>
      <c r="E53" s="8" t="s">
        <v>274</v>
      </c>
      <c r="F53" s="8" t="s">
        <v>684</v>
      </c>
      <c r="G53" s="8" t="s">
        <v>102</v>
      </c>
      <c r="H53" s="8" t="s">
        <v>685</v>
      </c>
      <c r="I53" s="8" t="s">
        <v>71</v>
      </c>
      <c r="J53" s="8" t="s">
        <v>169</v>
      </c>
      <c r="K53" s="8" t="s">
        <v>170</v>
      </c>
      <c r="L53" s="8"/>
      <c r="M53" s="8"/>
    </row>
    <row r="54" ht="15.75" customHeight="1">
      <c r="A54" s="6" t="s">
        <v>687</v>
      </c>
      <c r="B54" s="6" t="s">
        <v>626</v>
      </c>
      <c r="C54" s="6" t="s">
        <v>627</v>
      </c>
      <c r="D54" s="6" t="s">
        <v>691</v>
      </c>
      <c r="E54" s="6" t="s">
        <v>274</v>
      </c>
      <c r="F54" s="6" t="s">
        <v>693</v>
      </c>
      <c r="G54" s="6" t="s">
        <v>102</v>
      </c>
      <c r="H54" s="6" t="s">
        <v>694</v>
      </c>
      <c r="I54" s="6" t="s">
        <v>71</v>
      </c>
      <c r="J54" s="6" t="s">
        <v>169</v>
      </c>
      <c r="K54" s="6" t="s">
        <v>170</v>
      </c>
      <c r="L54" s="6"/>
      <c r="M54" s="6"/>
    </row>
    <row r="55" ht="15.75" customHeight="1">
      <c r="A55" s="8" t="s">
        <v>697</v>
      </c>
      <c r="B55" s="8" t="s">
        <v>626</v>
      </c>
      <c r="C55" s="8" t="s">
        <v>627</v>
      </c>
      <c r="D55" s="8" t="s">
        <v>700</v>
      </c>
      <c r="E55" s="8" t="s">
        <v>274</v>
      </c>
      <c r="F55" s="8" t="s">
        <v>701</v>
      </c>
      <c r="G55" s="8" t="s">
        <v>102</v>
      </c>
      <c r="H55" s="8" t="s">
        <v>702</v>
      </c>
      <c r="I55" s="8" t="s">
        <v>71</v>
      </c>
      <c r="J55" s="8" t="s">
        <v>431</v>
      </c>
      <c r="K55" s="8" t="s">
        <v>170</v>
      </c>
      <c r="L55" s="8"/>
      <c r="M55" s="8"/>
    </row>
    <row r="56" ht="15.75" customHeight="1">
      <c r="A56" s="6" t="s">
        <v>706</v>
      </c>
      <c r="B56" s="6" t="s">
        <v>626</v>
      </c>
      <c r="C56" s="6" t="s">
        <v>627</v>
      </c>
      <c r="D56" s="6" t="s">
        <v>709</v>
      </c>
      <c r="E56" s="6" t="s">
        <v>274</v>
      </c>
      <c r="F56" s="6" t="s">
        <v>252</v>
      </c>
      <c r="G56" s="6" t="s">
        <v>102</v>
      </c>
      <c r="H56" s="6" t="s">
        <v>711</v>
      </c>
      <c r="I56" s="6" t="s">
        <v>305</v>
      </c>
      <c r="J56" s="6" t="s">
        <v>431</v>
      </c>
      <c r="K56" s="6" t="s">
        <v>170</v>
      </c>
      <c r="L56" s="6"/>
      <c r="M56" s="6"/>
    </row>
    <row r="57" ht="15.75" customHeight="1">
      <c r="A57" s="8" t="s">
        <v>716</v>
      </c>
      <c r="B57" s="8" t="s">
        <v>626</v>
      </c>
      <c r="C57" s="8" t="s">
        <v>627</v>
      </c>
      <c r="D57" s="8" t="s">
        <v>718</v>
      </c>
      <c r="E57" s="8" t="s">
        <v>274</v>
      </c>
      <c r="F57" s="8" t="s">
        <v>720</v>
      </c>
      <c r="G57" s="8" t="s">
        <v>102</v>
      </c>
      <c r="H57" s="8" t="s">
        <v>721</v>
      </c>
      <c r="I57" s="8" t="s">
        <v>71</v>
      </c>
      <c r="J57" s="8" t="s">
        <v>169</v>
      </c>
      <c r="K57" s="8" t="s">
        <v>170</v>
      </c>
      <c r="L57" s="8"/>
      <c r="M57" s="8"/>
    </row>
    <row r="58" ht="15.75" customHeight="1">
      <c r="A58" s="6" t="s">
        <v>726</v>
      </c>
      <c r="B58" s="6" t="s">
        <v>626</v>
      </c>
      <c r="C58" s="6" t="s">
        <v>627</v>
      </c>
      <c r="D58" s="6" t="s">
        <v>729</v>
      </c>
      <c r="E58" s="6" t="s">
        <v>274</v>
      </c>
      <c r="F58" s="6" t="s">
        <v>732</v>
      </c>
      <c r="G58" s="6" t="s">
        <v>102</v>
      </c>
      <c r="H58" s="6" t="s">
        <v>735</v>
      </c>
      <c r="I58" s="6" t="s">
        <v>71</v>
      </c>
      <c r="J58" s="6" t="s">
        <v>169</v>
      </c>
      <c r="K58" s="6" t="s">
        <v>170</v>
      </c>
      <c r="L58" s="6"/>
      <c r="M58" s="6"/>
    </row>
    <row r="59" ht="15.75" customHeight="1">
      <c r="A59" s="8" t="s">
        <v>739</v>
      </c>
      <c r="B59" s="8" t="s">
        <v>626</v>
      </c>
      <c r="C59" s="8" t="s">
        <v>627</v>
      </c>
      <c r="D59" s="8" t="s">
        <v>741</v>
      </c>
      <c r="E59" s="8" t="s">
        <v>274</v>
      </c>
      <c r="F59" s="8" t="s">
        <v>743</v>
      </c>
      <c r="G59" s="8" t="s">
        <v>102</v>
      </c>
      <c r="H59" s="8" t="s">
        <v>745</v>
      </c>
      <c r="I59" s="8" t="s">
        <v>105</v>
      </c>
      <c r="J59" s="8" t="s">
        <v>169</v>
      </c>
      <c r="K59" s="8" t="s">
        <v>170</v>
      </c>
      <c r="L59" s="8"/>
      <c r="M59" s="8"/>
    </row>
    <row r="60" ht="15.75" customHeight="1">
      <c r="A60" s="6" t="s">
        <v>749</v>
      </c>
      <c r="B60" s="6" t="s">
        <v>626</v>
      </c>
      <c r="C60" s="6" t="s">
        <v>627</v>
      </c>
      <c r="D60" s="6" t="s">
        <v>751</v>
      </c>
      <c r="E60" s="6" t="s">
        <v>274</v>
      </c>
      <c r="F60" s="6" t="s">
        <v>753</v>
      </c>
      <c r="G60" s="6" t="s">
        <v>102</v>
      </c>
      <c r="H60" s="6" t="s">
        <v>755</v>
      </c>
      <c r="I60" s="6" t="s">
        <v>71</v>
      </c>
      <c r="J60" s="6" t="s">
        <v>169</v>
      </c>
      <c r="K60" s="6" t="s">
        <v>170</v>
      </c>
      <c r="L60" s="6"/>
      <c r="M60" s="6"/>
    </row>
    <row r="61" ht="15.75" customHeight="1">
      <c r="A61" s="8" t="s">
        <v>757</v>
      </c>
      <c r="B61" s="8" t="s">
        <v>626</v>
      </c>
      <c r="C61" s="8" t="s">
        <v>627</v>
      </c>
      <c r="D61" s="8" t="s">
        <v>759</v>
      </c>
      <c r="E61" s="8" t="s">
        <v>274</v>
      </c>
      <c r="F61" s="8" t="s">
        <v>761</v>
      </c>
      <c r="G61" s="8" t="s">
        <v>102</v>
      </c>
      <c r="H61" s="8" t="s">
        <v>762</v>
      </c>
      <c r="I61" s="8" t="s">
        <v>71</v>
      </c>
      <c r="J61" s="8" t="s">
        <v>169</v>
      </c>
      <c r="K61" s="8" t="s">
        <v>170</v>
      </c>
      <c r="L61" s="8"/>
      <c r="M61" s="8"/>
    </row>
    <row r="62" ht="15.75" customHeight="1">
      <c r="A62" s="6" t="s">
        <v>770</v>
      </c>
      <c r="B62" s="6" t="s">
        <v>626</v>
      </c>
      <c r="C62" s="6" t="s">
        <v>627</v>
      </c>
      <c r="D62" s="6" t="s">
        <v>772</v>
      </c>
      <c r="E62" s="6" t="s">
        <v>274</v>
      </c>
      <c r="F62" s="6" t="s">
        <v>775</v>
      </c>
      <c r="G62" s="6" t="s">
        <v>102</v>
      </c>
      <c r="H62" s="6" t="s">
        <v>777</v>
      </c>
      <c r="I62" s="6" t="s">
        <v>71</v>
      </c>
      <c r="J62" s="6" t="s">
        <v>431</v>
      </c>
      <c r="K62" s="6" t="s">
        <v>170</v>
      </c>
      <c r="L62" s="6"/>
      <c r="M62" s="6"/>
    </row>
    <row r="63" ht="15.75" customHeight="1">
      <c r="A63" s="8" t="s">
        <v>779</v>
      </c>
      <c r="B63" s="8" t="s">
        <v>626</v>
      </c>
      <c r="C63" s="8" t="s">
        <v>627</v>
      </c>
      <c r="D63" s="8" t="s">
        <v>782</v>
      </c>
      <c r="E63" s="8" t="s">
        <v>274</v>
      </c>
      <c r="F63" s="8" t="s">
        <v>783</v>
      </c>
      <c r="G63" s="8" t="s">
        <v>102</v>
      </c>
      <c r="H63" s="8" t="s">
        <v>784</v>
      </c>
      <c r="I63" s="8" t="s">
        <v>71</v>
      </c>
      <c r="J63" s="8" t="s">
        <v>431</v>
      </c>
      <c r="K63" s="8" t="s">
        <v>170</v>
      </c>
      <c r="L63" s="8"/>
      <c r="M63" s="8"/>
    </row>
    <row r="64" ht="15.75" customHeight="1">
      <c r="A64" s="6" t="s">
        <v>787</v>
      </c>
      <c r="B64" s="6" t="s">
        <v>626</v>
      </c>
      <c r="C64" s="6" t="s">
        <v>627</v>
      </c>
      <c r="D64" s="6" t="s">
        <v>789</v>
      </c>
      <c r="E64" s="6" t="s">
        <v>274</v>
      </c>
      <c r="F64" s="6" t="s">
        <v>791</v>
      </c>
      <c r="G64" s="6" t="s">
        <v>102</v>
      </c>
      <c r="H64" s="6" t="s">
        <v>792</v>
      </c>
      <c r="I64" s="6" t="s">
        <v>71</v>
      </c>
      <c r="J64" s="6" t="s">
        <v>169</v>
      </c>
      <c r="K64" s="6" t="s">
        <v>170</v>
      </c>
      <c r="L64" s="6"/>
      <c r="M64" s="6"/>
    </row>
    <row r="65" ht="15.75" customHeight="1">
      <c r="A65" s="8" t="s">
        <v>795</v>
      </c>
      <c r="B65" s="8" t="s">
        <v>299</v>
      </c>
      <c r="C65" s="8" t="s">
        <v>301</v>
      </c>
      <c r="D65" s="8" t="s">
        <v>798</v>
      </c>
      <c r="E65" s="8" t="s">
        <v>315</v>
      </c>
      <c r="F65" s="8" t="s">
        <v>800</v>
      </c>
      <c r="G65" s="8" t="s">
        <v>102</v>
      </c>
      <c r="H65" s="8" t="s">
        <v>801</v>
      </c>
      <c r="I65" s="8" t="s">
        <v>168</v>
      </c>
      <c r="J65" s="8" t="s">
        <v>169</v>
      </c>
      <c r="K65" s="8" t="s">
        <v>170</v>
      </c>
      <c r="L65" s="8"/>
      <c r="M65" s="8"/>
    </row>
    <row r="66" ht="15.75" customHeight="1">
      <c r="A66" s="8" t="s">
        <v>802</v>
      </c>
      <c r="B66" s="8" t="s">
        <v>545</v>
      </c>
      <c r="C66" s="8" t="s">
        <v>546</v>
      </c>
      <c r="D66" s="8" t="s">
        <v>803</v>
      </c>
      <c r="E66" s="8" t="s">
        <v>805</v>
      </c>
      <c r="F66" s="8" t="s">
        <v>807</v>
      </c>
      <c r="G66" s="8" t="s">
        <v>102</v>
      </c>
      <c r="H66" s="8" t="s">
        <v>810</v>
      </c>
      <c r="I66" s="8" t="s">
        <v>71</v>
      </c>
      <c r="J66" s="8" t="s">
        <v>169</v>
      </c>
      <c r="K66" s="8" t="s">
        <v>170</v>
      </c>
      <c r="L66" s="8"/>
      <c r="M66" s="8"/>
    </row>
    <row r="67" ht="15.75" customHeight="1">
      <c r="A67" s="8" t="s">
        <v>812</v>
      </c>
      <c r="B67" s="8" t="s">
        <v>545</v>
      </c>
      <c r="C67" s="8" t="s">
        <v>546</v>
      </c>
      <c r="D67" s="8" t="s">
        <v>814</v>
      </c>
      <c r="E67" s="8" t="s">
        <v>815</v>
      </c>
      <c r="F67" s="8" t="s">
        <v>816</v>
      </c>
      <c r="G67" s="8" t="s">
        <v>102</v>
      </c>
      <c r="H67" s="8" t="s">
        <v>818</v>
      </c>
      <c r="I67" s="8" t="s">
        <v>71</v>
      </c>
      <c r="J67" s="8" t="s">
        <v>169</v>
      </c>
      <c r="K67" s="8" t="s">
        <v>170</v>
      </c>
      <c r="L67" s="8"/>
      <c r="M67" s="8"/>
    </row>
    <row r="68" ht="15.75" customHeight="1">
      <c r="A68" s="8" t="s">
        <v>820</v>
      </c>
      <c r="B68" s="8" t="s">
        <v>545</v>
      </c>
      <c r="C68" s="8" t="s">
        <v>546</v>
      </c>
      <c r="D68" s="8" t="s">
        <v>823</v>
      </c>
      <c r="E68" s="8" t="s">
        <v>825</v>
      </c>
      <c r="F68" s="8" t="s">
        <v>826</v>
      </c>
      <c r="G68" s="8" t="s">
        <v>102</v>
      </c>
      <c r="H68" s="8" t="s">
        <v>827</v>
      </c>
      <c r="I68" s="8" t="s">
        <v>105</v>
      </c>
      <c r="J68" s="8" t="s">
        <v>169</v>
      </c>
      <c r="K68" s="8" t="s">
        <v>170</v>
      </c>
      <c r="L68" s="8"/>
      <c r="M68" s="8"/>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64"/>
  <dataValidations>
    <dataValidation type="list" allowBlank="1" sqref="K2:K64">
      <formula1>"Pendiente,Aprobado,Fallido,No aplica,Bloqueado"</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16.0"/>
    <col customWidth="1" min="3" max="3" width="52.0"/>
    <col customWidth="1" min="4" max="4" width="14.0"/>
    <col customWidth="1" min="5" max="6" width="16.0"/>
    <col customWidth="1" min="7" max="7" width="24.0"/>
    <col customWidth="1" min="8" max="9" width="14.0"/>
    <col customWidth="1" min="10" max="10" width="34.0"/>
  </cols>
  <sheetData>
    <row r="1">
      <c r="A1" s="9" t="s">
        <v>20</v>
      </c>
      <c r="B1" s="9" t="s">
        <v>268</v>
      </c>
      <c r="C1" s="9" t="s">
        <v>269</v>
      </c>
      <c r="D1" s="9" t="s">
        <v>271</v>
      </c>
      <c r="E1" s="9" t="s">
        <v>273</v>
      </c>
      <c r="F1" s="9" t="s">
        <v>275</v>
      </c>
      <c r="G1" s="9" t="s">
        <v>277</v>
      </c>
      <c r="H1" s="9" t="s">
        <v>278</v>
      </c>
      <c r="I1" s="9" t="s">
        <v>280</v>
      </c>
      <c r="J1" s="9" t="s">
        <v>281</v>
      </c>
    </row>
    <row r="2">
      <c r="A2" s="15" t="s">
        <v>282</v>
      </c>
      <c r="B2" s="15" t="s">
        <v>57</v>
      </c>
      <c r="C2" s="15" t="s">
        <v>88</v>
      </c>
      <c r="D2" s="16" t="s">
        <v>71</v>
      </c>
      <c r="E2" s="16" t="s">
        <v>73</v>
      </c>
      <c r="F2" s="17">
        <v>46280.0</v>
      </c>
      <c r="G2" s="16" t="s">
        <v>73</v>
      </c>
      <c r="H2" s="18" t="s">
        <v>288</v>
      </c>
      <c r="I2" s="16"/>
      <c r="J2" s="16"/>
    </row>
    <row r="3">
      <c r="A3" s="16" t="s">
        <v>290</v>
      </c>
      <c r="B3" s="16" t="s">
        <v>92</v>
      </c>
      <c r="C3" s="16" t="s">
        <v>292</v>
      </c>
      <c r="D3" s="16" t="s">
        <v>168</v>
      </c>
      <c r="E3" s="16" t="s">
        <v>73</v>
      </c>
      <c r="F3" s="17">
        <v>46280.0</v>
      </c>
      <c r="G3" s="16" t="s">
        <v>73</v>
      </c>
      <c r="H3" s="19" t="s">
        <v>296</v>
      </c>
      <c r="I3" s="16"/>
      <c r="J3" s="16"/>
    </row>
    <row r="4">
      <c r="A4" s="16" t="s">
        <v>298</v>
      </c>
      <c r="B4" s="16" t="s">
        <v>300</v>
      </c>
      <c r="C4" s="16" t="s">
        <v>303</v>
      </c>
      <c r="D4" s="16" t="s">
        <v>305</v>
      </c>
      <c r="E4" s="16" t="s">
        <v>73</v>
      </c>
      <c r="F4" s="17">
        <v>46280.0</v>
      </c>
      <c r="G4" s="16" t="s">
        <v>73</v>
      </c>
      <c r="H4" s="19" t="s">
        <v>296</v>
      </c>
      <c r="I4" s="16"/>
      <c r="J4" s="16"/>
    </row>
    <row r="5">
      <c r="A5" s="19" t="s">
        <v>308</v>
      </c>
      <c r="B5" s="16"/>
      <c r="C5" s="19" t="s">
        <v>310</v>
      </c>
      <c r="D5" s="19" t="s">
        <v>71</v>
      </c>
      <c r="E5" s="19" t="s">
        <v>73</v>
      </c>
      <c r="F5" s="20">
        <v>46280.0</v>
      </c>
      <c r="G5" s="19" t="s">
        <v>73</v>
      </c>
      <c r="H5" s="19" t="s">
        <v>318</v>
      </c>
      <c r="I5" s="16"/>
      <c r="J5" s="16"/>
    </row>
    <row r="6">
      <c r="A6" s="19" t="s">
        <v>320</v>
      </c>
      <c r="B6" s="19" t="s">
        <v>322</v>
      </c>
      <c r="C6" s="19" t="s">
        <v>331</v>
      </c>
      <c r="D6" s="19" t="s">
        <v>105</v>
      </c>
      <c r="E6" s="19" t="s">
        <v>73</v>
      </c>
      <c r="F6" s="20">
        <v>46280.0</v>
      </c>
      <c r="G6" s="19" t="s">
        <v>73</v>
      </c>
      <c r="H6" s="19" t="s">
        <v>288</v>
      </c>
      <c r="I6" s="16"/>
      <c r="J6" s="16"/>
    </row>
    <row r="7">
      <c r="A7" s="19" t="s">
        <v>337</v>
      </c>
      <c r="B7" s="19" t="s">
        <v>338</v>
      </c>
      <c r="C7" s="19" t="s">
        <v>340</v>
      </c>
      <c r="D7" s="19" t="s">
        <v>71</v>
      </c>
      <c r="E7" s="19" t="s">
        <v>73</v>
      </c>
      <c r="F7" s="20">
        <v>46282.0</v>
      </c>
      <c r="G7" s="19" t="s">
        <v>73</v>
      </c>
      <c r="H7" s="19" t="s">
        <v>345</v>
      </c>
      <c r="I7" s="16"/>
      <c r="J7" s="16"/>
    </row>
    <row r="8">
      <c r="A8" s="19" t="s">
        <v>348</v>
      </c>
      <c r="B8" s="19" t="s">
        <v>338</v>
      </c>
      <c r="C8" s="19" t="s">
        <v>350</v>
      </c>
      <c r="D8" s="19" t="s">
        <v>71</v>
      </c>
      <c r="E8" s="19" t="s">
        <v>73</v>
      </c>
      <c r="F8" s="20">
        <v>46282.0</v>
      </c>
      <c r="G8" s="19" t="s">
        <v>73</v>
      </c>
      <c r="H8" s="19" t="s">
        <v>296</v>
      </c>
      <c r="I8" s="16"/>
      <c r="J8" s="16"/>
    </row>
    <row r="9">
      <c r="A9" s="19" t="s">
        <v>361</v>
      </c>
      <c r="B9" s="16"/>
      <c r="C9" s="19" t="s">
        <v>363</v>
      </c>
      <c r="D9" s="19" t="s">
        <v>305</v>
      </c>
      <c r="E9" s="19" t="s">
        <v>73</v>
      </c>
      <c r="F9" s="20">
        <v>46282.0</v>
      </c>
      <c r="G9" s="19" t="s">
        <v>73</v>
      </c>
      <c r="H9" s="19" t="s">
        <v>296</v>
      </c>
      <c r="I9" s="16"/>
      <c r="J9" s="16"/>
    </row>
    <row r="10">
      <c r="A10" s="19" t="s">
        <v>365</v>
      </c>
      <c r="B10" s="16"/>
      <c r="C10" s="19" t="s">
        <v>367</v>
      </c>
      <c r="D10" s="19" t="s">
        <v>305</v>
      </c>
      <c r="E10" s="19" t="s">
        <v>73</v>
      </c>
      <c r="F10" s="20">
        <v>46282.0</v>
      </c>
      <c r="G10" s="19" t="s">
        <v>73</v>
      </c>
      <c r="H10" s="19" t="s">
        <v>296</v>
      </c>
      <c r="I10" s="16"/>
      <c r="J10" s="16"/>
    </row>
    <row r="11">
      <c r="A11" s="19" t="s">
        <v>375</v>
      </c>
      <c r="B11" s="16"/>
      <c r="C11" s="19" t="s">
        <v>376</v>
      </c>
      <c r="D11" s="19" t="s">
        <v>305</v>
      </c>
      <c r="E11" s="19" t="s">
        <v>73</v>
      </c>
      <c r="F11" s="20">
        <v>46282.0</v>
      </c>
      <c r="G11" s="19" t="s">
        <v>73</v>
      </c>
      <c r="H11" s="19" t="s">
        <v>296</v>
      </c>
      <c r="I11" s="16"/>
      <c r="J11" s="16"/>
    </row>
    <row r="12">
      <c r="A12" s="19" t="s">
        <v>386</v>
      </c>
      <c r="B12" s="19" t="s">
        <v>388</v>
      </c>
      <c r="C12" s="19" t="s">
        <v>389</v>
      </c>
      <c r="D12" s="19" t="s">
        <v>71</v>
      </c>
      <c r="E12" s="19" t="s">
        <v>73</v>
      </c>
      <c r="F12" s="20">
        <v>46282.0</v>
      </c>
      <c r="G12" s="19" t="s">
        <v>73</v>
      </c>
      <c r="H12" s="19" t="s">
        <v>345</v>
      </c>
      <c r="I12" s="16"/>
      <c r="J12" s="16"/>
    </row>
    <row r="13">
      <c r="A13" s="19" t="s">
        <v>392</v>
      </c>
      <c r="B13" s="16"/>
      <c r="C13" s="19" t="s">
        <v>396</v>
      </c>
      <c r="D13" s="19" t="s">
        <v>168</v>
      </c>
      <c r="E13" s="19" t="s">
        <v>73</v>
      </c>
      <c r="F13" s="20">
        <v>46284.0</v>
      </c>
      <c r="G13" s="19" t="s">
        <v>73</v>
      </c>
      <c r="H13" s="19" t="s">
        <v>296</v>
      </c>
      <c r="I13" s="16"/>
      <c r="J13" s="16"/>
    </row>
    <row r="14">
      <c r="A14" s="19" t="s">
        <v>404</v>
      </c>
      <c r="B14" s="16"/>
      <c r="C14" s="19" t="s">
        <v>406</v>
      </c>
      <c r="D14" s="19" t="s">
        <v>305</v>
      </c>
      <c r="E14" s="19" t="s">
        <v>73</v>
      </c>
      <c r="F14" s="20">
        <v>46284.0</v>
      </c>
      <c r="G14" s="19" t="s">
        <v>73</v>
      </c>
      <c r="H14" s="19" t="s">
        <v>288</v>
      </c>
      <c r="I14" s="16"/>
      <c r="J14" s="16"/>
    </row>
    <row r="15">
      <c r="A15" s="19" t="s">
        <v>416</v>
      </c>
      <c r="B15" s="16"/>
      <c r="C15" s="19" t="s">
        <v>418</v>
      </c>
      <c r="D15" s="19" t="s">
        <v>71</v>
      </c>
      <c r="E15" s="19" t="s">
        <v>73</v>
      </c>
      <c r="F15" s="20">
        <v>46284.0</v>
      </c>
      <c r="G15" s="19" t="s">
        <v>73</v>
      </c>
      <c r="H15" s="19" t="s">
        <v>288</v>
      </c>
      <c r="I15" s="16"/>
      <c r="J15" s="16"/>
    </row>
    <row r="16">
      <c r="A16" s="19" t="s">
        <v>423</v>
      </c>
      <c r="B16" s="16"/>
      <c r="C16" s="19" t="s">
        <v>427</v>
      </c>
      <c r="D16" s="19" t="s">
        <v>305</v>
      </c>
      <c r="E16" s="19" t="s">
        <v>431</v>
      </c>
      <c r="F16" s="20">
        <v>46284.0</v>
      </c>
      <c r="G16" s="19" t="s">
        <v>73</v>
      </c>
      <c r="H16" s="19" t="s">
        <v>288</v>
      </c>
      <c r="I16" s="16"/>
      <c r="J16" s="16"/>
    </row>
    <row r="17">
      <c r="A17" s="19" t="s">
        <v>453</v>
      </c>
      <c r="B17" s="16"/>
      <c r="C17" s="19" t="s">
        <v>456</v>
      </c>
      <c r="D17" s="19" t="s">
        <v>71</v>
      </c>
      <c r="E17" s="19" t="s">
        <v>431</v>
      </c>
      <c r="F17" s="20">
        <v>46284.0</v>
      </c>
      <c r="G17" s="19" t="s">
        <v>73</v>
      </c>
      <c r="H17" s="19" t="s">
        <v>288</v>
      </c>
      <c r="I17" s="16"/>
      <c r="J17" s="16"/>
    </row>
    <row r="18">
      <c r="A18" s="19" t="s">
        <v>463</v>
      </c>
      <c r="B18" s="16"/>
      <c r="C18" s="19" t="s">
        <v>468</v>
      </c>
      <c r="D18" s="19" t="s">
        <v>305</v>
      </c>
      <c r="E18" s="19" t="s">
        <v>472</v>
      </c>
      <c r="F18" s="20">
        <v>46284.0</v>
      </c>
      <c r="G18" s="19" t="s">
        <v>73</v>
      </c>
      <c r="H18" s="19" t="s">
        <v>288</v>
      </c>
      <c r="I18" s="16"/>
      <c r="J18" s="16"/>
    </row>
    <row r="19">
      <c r="A19" s="19" t="s">
        <v>473</v>
      </c>
      <c r="B19" s="16"/>
      <c r="C19" s="19" t="s">
        <v>476</v>
      </c>
      <c r="D19" s="19" t="s">
        <v>305</v>
      </c>
      <c r="E19" s="19" t="s">
        <v>431</v>
      </c>
      <c r="F19" s="20">
        <v>46284.0</v>
      </c>
      <c r="G19" s="19" t="s">
        <v>73</v>
      </c>
      <c r="H19" s="19" t="s">
        <v>318</v>
      </c>
      <c r="I19" s="16"/>
      <c r="J19" s="16"/>
    </row>
    <row r="20" ht="15.75" customHeight="1">
      <c r="A20" s="19" t="s">
        <v>485</v>
      </c>
      <c r="B20" s="16"/>
      <c r="C20" s="19" t="s">
        <v>486</v>
      </c>
      <c r="D20" s="19" t="s">
        <v>105</v>
      </c>
      <c r="E20" s="19" t="s">
        <v>431</v>
      </c>
      <c r="F20" s="20">
        <v>46284.0</v>
      </c>
      <c r="G20" s="19" t="s">
        <v>73</v>
      </c>
      <c r="H20" s="19" t="s">
        <v>288</v>
      </c>
      <c r="I20" s="16"/>
      <c r="J20" s="16"/>
    </row>
    <row r="21" ht="15.75" customHeight="1">
      <c r="A21" s="19" t="s">
        <v>495</v>
      </c>
      <c r="B21" s="16"/>
      <c r="C21" s="19" t="s">
        <v>496</v>
      </c>
      <c r="D21" s="19" t="s">
        <v>305</v>
      </c>
      <c r="E21" s="19" t="s">
        <v>431</v>
      </c>
      <c r="F21" s="20">
        <v>46287.0</v>
      </c>
      <c r="G21" s="16"/>
      <c r="H21" s="19" t="s">
        <v>318</v>
      </c>
      <c r="I21" s="16"/>
      <c r="J21" s="16"/>
    </row>
    <row r="22" ht="73.5" customHeight="1">
      <c r="A22" s="19" t="s">
        <v>502</v>
      </c>
      <c r="B22" s="16"/>
      <c r="C22" s="19" t="s">
        <v>505</v>
      </c>
      <c r="D22" s="19" t="s">
        <v>105</v>
      </c>
      <c r="E22" s="19" t="s">
        <v>431</v>
      </c>
      <c r="G22" s="19" t="s">
        <v>73</v>
      </c>
      <c r="H22" s="19" t="s">
        <v>318</v>
      </c>
      <c r="I22" s="16"/>
      <c r="J22" s="16"/>
    </row>
    <row r="23" ht="15.75" customHeight="1">
      <c r="A23" s="19" t="s">
        <v>516</v>
      </c>
      <c r="B23" s="19" t="s">
        <v>517</v>
      </c>
      <c r="C23" s="19" t="s">
        <v>518</v>
      </c>
      <c r="D23" s="19" t="s">
        <v>71</v>
      </c>
      <c r="E23" s="19" t="s">
        <v>472</v>
      </c>
      <c r="F23" s="20">
        <v>46287.0</v>
      </c>
      <c r="G23" s="19" t="s">
        <v>73</v>
      </c>
      <c r="H23" s="19" t="s">
        <v>318</v>
      </c>
      <c r="I23" s="16"/>
      <c r="J23" s="16"/>
    </row>
    <row r="24" ht="15.75" customHeight="1">
      <c r="A24" s="19" t="s">
        <v>529</v>
      </c>
      <c r="B24" s="16"/>
      <c r="C24" s="19" t="s">
        <v>530</v>
      </c>
      <c r="D24" s="19" t="s">
        <v>105</v>
      </c>
      <c r="E24" s="19" t="s">
        <v>431</v>
      </c>
      <c r="F24" s="20">
        <v>46287.0</v>
      </c>
      <c r="G24" s="19" t="s">
        <v>73</v>
      </c>
      <c r="H24" s="19" t="s">
        <v>318</v>
      </c>
      <c r="I24" s="16"/>
      <c r="J24" s="16"/>
    </row>
    <row r="25" ht="15.75" customHeight="1">
      <c r="A25" s="21" t="s">
        <v>542</v>
      </c>
      <c r="B25" s="22"/>
      <c r="C25" s="21" t="s">
        <v>549</v>
      </c>
      <c r="D25" s="21" t="s">
        <v>105</v>
      </c>
      <c r="E25" s="21" t="s">
        <v>431</v>
      </c>
      <c r="F25" s="23">
        <v>46287.0</v>
      </c>
      <c r="G25" s="21" t="s">
        <v>73</v>
      </c>
      <c r="H25" s="21" t="s">
        <v>318</v>
      </c>
      <c r="I25" s="22"/>
      <c r="J25" s="22"/>
      <c r="K25" s="24"/>
      <c r="L25" s="24"/>
      <c r="M25" s="24"/>
      <c r="N25" s="24"/>
      <c r="O25" s="24"/>
      <c r="P25" s="24"/>
      <c r="Q25" s="24"/>
      <c r="R25" s="24"/>
      <c r="S25" s="24"/>
      <c r="T25" s="24"/>
      <c r="U25" s="24"/>
      <c r="V25" s="24"/>
      <c r="W25" s="24"/>
      <c r="X25" s="24"/>
      <c r="Y25" s="24"/>
      <c r="Z25" s="24"/>
    </row>
    <row r="26" ht="15.75" customHeight="1">
      <c r="A26" s="19" t="s">
        <v>574</v>
      </c>
      <c r="B26" s="16"/>
      <c r="C26" s="19" t="s">
        <v>576</v>
      </c>
      <c r="D26" s="19" t="s">
        <v>71</v>
      </c>
      <c r="E26" s="19" t="s">
        <v>431</v>
      </c>
      <c r="F26" s="20">
        <v>46290.0</v>
      </c>
      <c r="G26" s="19" t="s">
        <v>73</v>
      </c>
      <c r="H26" s="19" t="s">
        <v>318</v>
      </c>
      <c r="I26" s="16"/>
      <c r="J26" s="16"/>
    </row>
    <row r="27" ht="15.75" customHeight="1">
      <c r="A27" s="19" t="s">
        <v>583</v>
      </c>
      <c r="B27" s="16"/>
      <c r="C27" s="19" t="s">
        <v>585</v>
      </c>
      <c r="D27" s="19" t="s">
        <v>71</v>
      </c>
      <c r="E27" s="19" t="s">
        <v>472</v>
      </c>
      <c r="F27" s="20">
        <v>46290.0</v>
      </c>
      <c r="G27" s="19" t="s">
        <v>73</v>
      </c>
      <c r="H27" s="19" t="s">
        <v>318</v>
      </c>
      <c r="I27" s="16"/>
      <c r="J27" s="16"/>
    </row>
    <row r="28" ht="15.75" customHeight="1">
      <c r="A28" s="19" t="s">
        <v>594</v>
      </c>
      <c r="B28" s="16"/>
      <c r="C28" s="19" t="s">
        <v>596</v>
      </c>
      <c r="D28" s="19" t="s">
        <v>71</v>
      </c>
      <c r="E28" s="19" t="s">
        <v>73</v>
      </c>
      <c r="F28" s="20">
        <v>46292.0</v>
      </c>
      <c r="G28" s="19" t="s">
        <v>73</v>
      </c>
      <c r="H28" s="19" t="s">
        <v>318</v>
      </c>
      <c r="I28" s="16"/>
      <c r="J28" s="16"/>
    </row>
    <row r="29" ht="15.75" customHeight="1">
      <c r="A29" s="19" t="s">
        <v>604</v>
      </c>
      <c r="B29" s="16"/>
      <c r="C29" s="19" t="s">
        <v>605</v>
      </c>
      <c r="D29" s="19" t="s">
        <v>305</v>
      </c>
      <c r="E29" s="19" t="s">
        <v>431</v>
      </c>
      <c r="F29" s="20">
        <v>46292.0</v>
      </c>
      <c r="G29" s="19" t="s">
        <v>73</v>
      </c>
      <c r="H29" s="19" t="s">
        <v>318</v>
      </c>
      <c r="I29" s="16"/>
      <c r="J29" s="16"/>
    </row>
    <row r="30" ht="15.75" customHeight="1">
      <c r="A30" s="16"/>
      <c r="B30" s="16"/>
      <c r="C30" s="16"/>
      <c r="D30" s="16"/>
      <c r="E30" s="16"/>
      <c r="F30" s="16"/>
      <c r="G30" s="16"/>
      <c r="H30" s="16"/>
      <c r="I30" s="16"/>
      <c r="J30" s="16"/>
    </row>
    <row r="31" ht="15.75" customHeight="1">
      <c r="A31" s="16"/>
      <c r="B31" s="16"/>
      <c r="C31" s="16"/>
      <c r="D31" s="16"/>
      <c r="E31" s="16"/>
      <c r="F31" s="16"/>
      <c r="G31" s="16"/>
      <c r="H31" s="16"/>
      <c r="I31" s="16"/>
      <c r="J31" s="16"/>
    </row>
    <row r="32" ht="15.75" customHeight="1">
      <c r="A32" s="16"/>
      <c r="B32" s="16"/>
      <c r="C32" s="16"/>
      <c r="D32" s="16"/>
      <c r="E32" s="16"/>
      <c r="F32" s="16"/>
      <c r="G32" s="16"/>
      <c r="H32" s="16"/>
      <c r="I32" s="16"/>
      <c r="J32" s="16"/>
    </row>
    <row r="33" ht="15.75" customHeight="1">
      <c r="A33" s="16"/>
      <c r="B33" s="16"/>
      <c r="C33" s="16"/>
      <c r="D33" s="16"/>
      <c r="E33" s="16"/>
      <c r="F33" s="16"/>
      <c r="G33" s="16"/>
      <c r="H33" s="16"/>
      <c r="I33" s="16"/>
      <c r="J33" s="16"/>
    </row>
    <row r="34" ht="15.75" customHeight="1">
      <c r="A34" s="16"/>
      <c r="B34" s="16"/>
      <c r="C34" s="16"/>
      <c r="D34" s="16"/>
      <c r="E34" s="16"/>
      <c r="F34" s="16"/>
      <c r="G34" s="16"/>
      <c r="H34" s="16"/>
      <c r="I34" s="16"/>
      <c r="J34" s="16"/>
    </row>
    <row r="35" ht="15.75" customHeight="1">
      <c r="A35" s="16"/>
      <c r="B35" s="16"/>
      <c r="C35" s="16"/>
      <c r="D35" s="16"/>
      <c r="E35" s="16"/>
      <c r="F35" s="16"/>
      <c r="G35" s="16"/>
      <c r="H35" s="16"/>
      <c r="I35" s="16"/>
      <c r="J35" s="16"/>
    </row>
    <row r="36" ht="15.75" customHeight="1">
      <c r="A36" s="16"/>
      <c r="B36" s="16"/>
      <c r="C36" s="16"/>
      <c r="D36" s="16"/>
      <c r="E36" s="16"/>
      <c r="F36" s="16"/>
      <c r="G36" s="16"/>
      <c r="H36" s="16"/>
      <c r="I36" s="16"/>
      <c r="J36" s="16"/>
    </row>
    <row r="37" ht="15.75" customHeight="1">
      <c r="A37" s="16"/>
      <c r="B37" s="16"/>
      <c r="C37" s="16"/>
      <c r="D37" s="16"/>
      <c r="E37" s="16"/>
      <c r="F37" s="16"/>
      <c r="G37" s="16"/>
      <c r="H37" s="16"/>
      <c r="I37" s="16"/>
      <c r="J37" s="16"/>
    </row>
    <row r="38" ht="15.75" customHeight="1">
      <c r="A38" s="16"/>
      <c r="B38" s="16"/>
      <c r="C38" s="16"/>
      <c r="D38" s="16"/>
      <c r="E38" s="16"/>
      <c r="F38" s="16"/>
      <c r="G38" s="16"/>
      <c r="H38" s="16"/>
      <c r="I38" s="16"/>
      <c r="J38" s="16"/>
    </row>
    <row r="39" ht="15.75" customHeight="1">
      <c r="A39" s="16"/>
      <c r="B39" s="16"/>
      <c r="C39" s="16"/>
      <c r="D39" s="16"/>
      <c r="E39" s="16"/>
      <c r="F39" s="16"/>
      <c r="G39" s="16"/>
      <c r="H39" s="16"/>
      <c r="I39" s="16"/>
      <c r="J39" s="16"/>
    </row>
    <row r="40" ht="15.75" customHeight="1">
      <c r="A40" s="16"/>
      <c r="B40" s="16"/>
      <c r="C40" s="16"/>
      <c r="D40" s="16"/>
      <c r="E40" s="16"/>
      <c r="F40" s="16"/>
      <c r="G40" s="16"/>
      <c r="H40" s="16"/>
      <c r="I40" s="16"/>
      <c r="J40" s="16"/>
    </row>
    <row r="41" ht="15.75" customHeight="1">
      <c r="A41" s="16"/>
      <c r="B41" s="16"/>
      <c r="C41" s="16"/>
      <c r="D41" s="16"/>
      <c r="E41" s="16"/>
      <c r="F41" s="16"/>
      <c r="G41" s="16"/>
      <c r="H41" s="16"/>
      <c r="I41" s="16"/>
      <c r="J41" s="16"/>
    </row>
    <row r="42" ht="15.75" customHeight="1">
      <c r="A42" s="16"/>
      <c r="B42" s="16"/>
      <c r="C42" s="16"/>
      <c r="D42" s="16"/>
      <c r="E42" s="16"/>
      <c r="F42" s="16"/>
      <c r="G42" s="16"/>
      <c r="H42" s="16"/>
      <c r="I42" s="16"/>
      <c r="J42" s="16"/>
    </row>
    <row r="43" ht="15.75" customHeight="1">
      <c r="A43" s="16"/>
      <c r="B43" s="16"/>
      <c r="C43" s="16"/>
      <c r="D43" s="16"/>
      <c r="E43" s="16"/>
      <c r="F43" s="16"/>
      <c r="G43" s="16"/>
      <c r="H43" s="16"/>
      <c r="I43" s="16"/>
      <c r="J43" s="16"/>
    </row>
    <row r="44" ht="15.75" customHeight="1">
      <c r="A44" s="16"/>
      <c r="B44" s="16"/>
      <c r="C44" s="16"/>
      <c r="D44" s="16"/>
      <c r="E44" s="16"/>
      <c r="F44" s="16"/>
      <c r="G44" s="16"/>
      <c r="H44" s="16"/>
      <c r="I44" s="16"/>
      <c r="J44" s="16"/>
    </row>
    <row r="45" ht="15.75" customHeight="1">
      <c r="A45" s="16"/>
      <c r="B45" s="16"/>
      <c r="C45" s="16"/>
      <c r="D45" s="16"/>
      <c r="E45" s="16"/>
      <c r="F45" s="16"/>
      <c r="G45" s="16"/>
      <c r="H45" s="16"/>
      <c r="I45" s="16"/>
      <c r="J45" s="16"/>
    </row>
    <row r="46" ht="15.75" customHeight="1">
      <c r="A46" s="16"/>
      <c r="B46" s="16"/>
      <c r="C46" s="16"/>
      <c r="D46" s="16"/>
      <c r="E46" s="16"/>
      <c r="F46" s="16"/>
      <c r="G46" s="16"/>
      <c r="H46" s="16"/>
      <c r="I46" s="16"/>
      <c r="J46" s="16"/>
    </row>
    <row r="47" ht="15.75" customHeight="1">
      <c r="A47" s="16"/>
      <c r="B47" s="16"/>
      <c r="C47" s="16"/>
      <c r="D47" s="16"/>
      <c r="E47" s="16"/>
      <c r="F47" s="16"/>
      <c r="G47" s="16"/>
      <c r="H47" s="16"/>
      <c r="I47" s="16"/>
      <c r="J47" s="16"/>
    </row>
    <row r="48" ht="15.75" customHeight="1">
      <c r="A48" s="16"/>
      <c r="B48" s="16"/>
      <c r="C48" s="16"/>
      <c r="D48" s="16"/>
      <c r="E48" s="16"/>
      <c r="F48" s="16"/>
      <c r="G48" s="16"/>
      <c r="H48" s="16"/>
      <c r="I48" s="16"/>
      <c r="J48" s="16"/>
    </row>
    <row r="49" ht="15.75" customHeight="1">
      <c r="A49" s="16"/>
      <c r="B49" s="16"/>
      <c r="C49" s="16"/>
      <c r="D49" s="16"/>
      <c r="E49" s="16"/>
      <c r="F49" s="16"/>
      <c r="G49" s="16"/>
      <c r="H49" s="16"/>
      <c r="I49" s="16"/>
      <c r="J49" s="16"/>
    </row>
    <row r="50" ht="15.75" customHeight="1">
      <c r="A50" s="16"/>
      <c r="B50" s="16"/>
      <c r="C50" s="16"/>
      <c r="D50" s="16"/>
      <c r="E50" s="16"/>
      <c r="F50" s="16"/>
      <c r="G50" s="16"/>
      <c r="H50" s="16"/>
      <c r="I50" s="16"/>
      <c r="J50" s="16"/>
    </row>
    <row r="51" ht="15.75" customHeight="1">
      <c r="A51" s="16"/>
      <c r="B51" s="16"/>
      <c r="C51" s="16"/>
      <c r="D51" s="16"/>
      <c r="E51" s="16"/>
      <c r="F51" s="16"/>
      <c r="G51" s="16"/>
      <c r="H51" s="16"/>
      <c r="I51" s="16"/>
      <c r="J51" s="16"/>
    </row>
    <row r="52" ht="15.75" customHeight="1">
      <c r="A52" s="16"/>
      <c r="B52" s="16"/>
      <c r="C52" s="16"/>
      <c r="D52" s="16"/>
      <c r="E52" s="16"/>
      <c r="F52" s="16"/>
      <c r="G52" s="16"/>
      <c r="H52" s="16"/>
      <c r="I52" s="16"/>
      <c r="J52" s="16"/>
    </row>
    <row r="53" ht="15.75" customHeight="1">
      <c r="A53" s="16"/>
      <c r="B53" s="16"/>
      <c r="C53" s="16"/>
      <c r="D53" s="16"/>
      <c r="E53" s="16"/>
      <c r="F53" s="16"/>
      <c r="G53" s="16"/>
      <c r="H53" s="16"/>
      <c r="I53" s="16"/>
      <c r="J53" s="16"/>
    </row>
    <row r="54" ht="15.75" customHeight="1">
      <c r="A54" s="16"/>
      <c r="B54" s="16"/>
      <c r="C54" s="16"/>
      <c r="D54" s="16"/>
      <c r="E54" s="16"/>
      <c r="F54" s="16"/>
      <c r="G54" s="16"/>
      <c r="H54" s="16"/>
      <c r="I54" s="16"/>
      <c r="J54" s="16"/>
    </row>
    <row r="55" ht="15.75" customHeight="1">
      <c r="A55" s="16"/>
      <c r="B55" s="16"/>
      <c r="C55" s="16"/>
      <c r="D55" s="16"/>
      <c r="E55" s="16"/>
      <c r="F55" s="16"/>
      <c r="G55" s="16"/>
      <c r="H55" s="16"/>
      <c r="I55" s="16"/>
      <c r="J55" s="16"/>
    </row>
    <row r="56" ht="15.75" customHeight="1">
      <c r="A56" s="16"/>
      <c r="B56" s="16"/>
      <c r="C56" s="16"/>
      <c r="D56" s="16"/>
      <c r="E56" s="16"/>
      <c r="F56" s="16"/>
      <c r="G56" s="16"/>
      <c r="H56" s="16"/>
      <c r="I56" s="16"/>
      <c r="J56" s="16"/>
    </row>
    <row r="57" ht="15.75" customHeight="1">
      <c r="A57" s="16"/>
      <c r="B57" s="16"/>
      <c r="C57" s="16"/>
      <c r="D57" s="16"/>
      <c r="E57" s="16"/>
      <c r="F57" s="16"/>
      <c r="G57" s="16"/>
      <c r="H57" s="16"/>
      <c r="I57" s="16"/>
      <c r="J57" s="16"/>
    </row>
    <row r="58" ht="15.75" customHeight="1">
      <c r="A58" s="16"/>
      <c r="B58" s="16"/>
      <c r="C58" s="16"/>
      <c r="D58" s="16"/>
      <c r="E58" s="16"/>
      <c r="F58" s="16"/>
      <c r="G58" s="16"/>
      <c r="H58" s="16"/>
      <c r="I58" s="16"/>
      <c r="J58" s="16"/>
    </row>
    <row r="59" ht="15.75" customHeight="1">
      <c r="A59" s="16"/>
      <c r="B59" s="16"/>
      <c r="C59" s="16"/>
      <c r="D59" s="16"/>
      <c r="E59" s="16"/>
      <c r="F59" s="16"/>
      <c r="G59" s="16"/>
      <c r="H59" s="16"/>
      <c r="I59" s="16"/>
      <c r="J59" s="16"/>
    </row>
    <row r="60" ht="15.75" customHeight="1">
      <c r="A60" s="16"/>
      <c r="B60" s="16"/>
      <c r="C60" s="16"/>
      <c r="D60" s="16"/>
      <c r="E60" s="16"/>
      <c r="F60" s="16"/>
      <c r="G60" s="16"/>
      <c r="H60" s="16"/>
      <c r="I60" s="16"/>
      <c r="J60" s="16"/>
    </row>
    <row r="61" ht="15.75" customHeight="1">
      <c r="A61" s="16"/>
      <c r="B61" s="16"/>
      <c r="C61" s="16"/>
      <c r="D61" s="16"/>
      <c r="E61" s="16"/>
      <c r="F61" s="16"/>
      <c r="G61" s="16"/>
      <c r="H61" s="16"/>
      <c r="I61" s="16"/>
      <c r="J61" s="16"/>
    </row>
    <row r="62" ht="15.75" customHeight="1">
      <c r="A62" s="16"/>
      <c r="B62" s="16"/>
      <c r="C62" s="16"/>
      <c r="D62" s="16"/>
      <c r="E62" s="16"/>
      <c r="F62" s="16"/>
      <c r="G62" s="16"/>
      <c r="H62" s="16"/>
      <c r="I62" s="16"/>
      <c r="J62" s="16"/>
    </row>
    <row r="63" ht="15.75" customHeight="1">
      <c r="A63" s="16"/>
      <c r="B63" s="16"/>
      <c r="C63" s="16"/>
      <c r="D63" s="16"/>
      <c r="E63" s="16"/>
      <c r="F63" s="16"/>
      <c r="G63" s="16"/>
      <c r="H63" s="16"/>
      <c r="I63" s="16"/>
      <c r="J63" s="16"/>
    </row>
    <row r="64" ht="15.75" customHeight="1">
      <c r="A64" s="16"/>
      <c r="B64" s="16"/>
      <c r="C64" s="16"/>
      <c r="D64" s="16"/>
      <c r="E64" s="16"/>
      <c r="F64" s="16"/>
      <c r="G64" s="16"/>
      <c r="H64" s="16"/>
      <c r="I64" s="16"/>
      <c r="J64" s="16"/>
    </row>
    <row r="65" ht="15.75" customHeight="1">
      <c r="A65" s="16"/>
      <c r="B65" s="16"/>
      <c r="C65" s="16"/>
      <c r="D65" s="16"/>
      <c r="E65" s="16"/>
      <c r="F65" s="16"/>
      <c r="G65" s="16"/>
      <c r="H65" s="16"/>
      <c r="I65" s="16"/>
      <c r="J65" s="16"/>
    </row>
    <row r="66" ht="15.75" customHeight="1">
      <c r="A66" s="16"/>
      <c r="B66" s="16"/>
      <c r="C66" s="16"/>
      <c r="D66" s="16"/>
      <c r="E66" s="16"/>
      <c r="F66" s="16"/>
      <c r="G66" s="16"/>
      <c r="H66" s="16"/>
      <c r="I66" s="16"/>
      <c r="J66" s="16"/>
    </row>
    <row r="67" ht="15.75" customHeight="1">
      <c r="A67" s="16"/>
      <c r="B67" s="16"/>
      <c r="C67" s="16"/>
      <c r="D67" s="16"/>
      <c r="E67" s="16"/>
      <c r="F67" s="16"/>
      <c r="G67" s="16"/>
      <c r="H67" s="16"/>
      <c r="I67" s="16"/>
      <c r="J67" s="16"/>
    </row>
    <row r="68" ht="15.75" customHeight="1">
      <c r="A68" s="16"/>
      <c r="B68" s="16"/>
      <c r="C68" s="16"/>
      <c r="D68" s="16"/>
      <c r="E68" s="16"/>
      <c r="F68" s="16"/>
      <c r="G68" s="16"/>
      <c r="H68" s="16"/>
      <c r="I68" s="16"/>
      <c r="J68" s="16"/>
    </row>
    <row r="69" ht="15.75" customHeight="1">
      <c r="A69" s="16"/>
      <c r="B69" s="16"/>
      <c r="C69" s="16"/>
      <c r="D69" s="16"/>
      <c r="E69" s="16"/>
      <c r="F69" s="16"/>
      <c r="G69" s="16"/>
      <c r="H69" s="16"/>
      <c r="I69" s="16"/>
      <c r="J69" s="16"/>
    </row>
    <row r="70" ht="15.75" customHeight="1">
      <c r="A70" s="16"/>
      <c r="B70" s="16"/>
      <c r="C70" s="16"/>
      <c r="D70" s="16"/>
      <c r="E70" s="16"/>
      <c r="F70" s="16"/>
      <c r="G70" s="16"/>
      <c r="H70" s="16"/>
      <c r="I70" s="16"/>
      <c r="J70" s="16"/>
    </row>
    <row r="71" ht="15.75" customHeight="1">
      <c r="A71" s="16"/>
      <c r="B71" s="16"/>
      <c r="C71" s="16"/>
      <c r="D71" s="16"/>
      <c r="E71" s="16"/>
      <c r="F71" s="16"/>
      <c r="G71" s="16"/>
      <c r="H71" s="16"/>
      <c r="I71" s="16"/>
      <c r="J71" s="16"/>
    </row>
    <row r="72" ht="15.75" customHeight="1">
      <c r="A72" s="16"/>
      <c r="B72" s="16"/>
      <c r="C72" s="16"/>
      <c r="D72" s="16"/>
      <c r="E72" s="16"/>
      <c r="F72" s="16"/>
      <c r="G72" s="16"/>
      <c r="H72" s="16"/>
      <c r="I72" s="16"/>
      <c r="J72" s="16"/>
    </row>
    <row r="73" ht="15.75" customHeight="1">
      <c r="A73" s="16"/>
      <c r="B73" s="16"/>
      <c r="C73" s="16"/>
      <c r="D73" s="16"/>
      <c r="E73" s="16"/>
      <c r="F73" s="16"/>
      <c r="G73" s="16"/>
      <c r="H73" s="16"/>
      <c r="I73" s="16"/>
      <c r="J73" s="16"/>
    </row>
    <row r="74" ht="15.75" customHeight="1">
      <c r="A74" s="16"/>
      <c r="B74" s="16"/>
      <c r="C74" s="16"/>
      <c r="D74" s="16"/>
      <c r="E74" s="16"/>
      <c r="F74" s="16"/>
      <c r="G74" s="16"/>
      <c r="H74" s="16"/>
      <c r="I74" s="16"/>
      <c r="J74" s="16"/>
    </row>
    <row r="75" ht="15.75" customHeight="1">
      <c r="A75" s="16"/>
      <c r="B75" s="16"/>
      <c r="C75" s="16"/>
      <c r="D75" s="16"/>
      <c r="E75" s="16"/>
      <c r="F75" s="16"/>
      <c r="G75" s="16"/>
      <c r="H75" s="16"/>
      <c r="I75" s="16"/>
      <c r="J75" s="16"/>
    </row>
    <row r="76" ht="15.75" customHeight="1">
      <c r="A76" s="16"/>
      <c r="B76" s="16"/>
      <c r="C76" s="16"/>
      <c r="D76" s="16"/>
      <c r="E76" s="16"/>
      <c r="F76" s="16"/>
      <c r="G76" s="16"/>
      <c r="H76" s="16"/>
      <c r="I76" s="16"/>
      <c r="J76" s="16"/>
    </row>
    <row r="77" ht="15.75" customHeight="1">
      <c r="A77" s="16"/>
      <c r="B77" s="16"/>
      <c r="C77" s="16"/>
      <c r="D77" s="16"/>
      <c r="E77" s="16"/>
      <c r="F77" s="16"/>
      <c r="G77" s="16"/>
      <c r="H77" s="16"/>
      <c r="I77" s="16"/>
      <c r="J77" s="16"/>
    </row>
    <row r="78" ht="15.75" customHeight="1">
      <c r="A78" s="16"/>
      <c r="B78" s="16"/>
      <c r="C78" s="16"/>
      <c r="D78" s="16"/>
      <c r="E78" s="16"/>
      <c r="F78" s="16"/>
      <c r="G78" s="16"/>
      <c r="H78" s="16"/>
      <c r="I78" s="16"/>
      <c r="J78" s="16"/>
    </row>
    <row r="79" ht="15.75" customHeight="1">
      <c r="A79" s="16"/>
      <c r="B79" s="16"/>
      <c r="C79" s="16"/>
      <c r="D79" s="16"/>
      <c r="E79" s="16"/>
      <c r="F79" s="16"/>
      <c r="G79" s="16"/>
      <c r="H79" s="16"/>
      <c r="I79" s="16"/>
      <c r="J79" s="16"/>
    </row>
    <row r="80" ht="15.75" customHeight="1">
      <c r="A80" s="16"/>
      <c r="B80" s="16"/>
      <c r="C80" s="16"/>
      <c r="D80" s="16"/>
      <c r="E80" s="16"/>
      <c r="F80" s="16"/>
      <c r="G80" s="16"/>
      <c r="H80" s="16"/>
      <c r="I80" s="16"/>
      <c r="J80" s="16"/>
    </row>
    <row r="81" ht="15.75" customHeight="1">
      <c r="A81" s="16"/>
      <c r="B81" s="16"/>
      <c r="C81" s="16"/>
      <c r="D81" s="16"/>
      <c r="E81" s="16"/>
      <c r="F81" s="16"/>
      <c r="G81" s="16"/>
      <c r="H81" s="16"/>
      <c r="I81" s="16"/>
      <c r="J81" s="16"/>
    </row>
    <row r="82" ht="15.75" customHeight="1">
      <c r="A82" s="16"/>
      <c r="B82" s="16"/>
      <c r="C82" s="16"/>
      <c r="D82" s="16"/>
      <c r="E82" s="16"/>
      <c r="F82" s="16"/>
      <c r="G82" s="16"/>
      <c r="H82" s="16"/>
      <c r="I82" s="16"/>
      <c r="J82" s="16"/>
    </row>
    <row r="83" ht="15.75" customHeight="1">
      <c r="A83" s="16"/>
      <c r="B83" s="16"/>
      <c r="C83" s="16"/>
      <c r="D83" s="16"/>
      <c r="E83" s="16"/>
      <c r="F83" s="16"/>
      <c r="G83" s="16"/>
      <c r="H83" s="16"/>
      <c r="I83" s="16"/>
      <c r="J83" s="16"/>
    </row>
    <row r="84" ht="15.75" customHeight="1">
      <c r="A84" s="16"/>
      <c r="B84" s="16"/>
      <c r="C84" s="16"/>
      <c r="D84" s="16"/>
      <c r="E84" s="16"/>
      <c r="F84" s="16"/>
      <c r="G84" s="16"/>
      <c r="H84" s="16"/>
      <c r="I84" s="16"/>
      <c r="J84" s="16"/>
    </row>
    <row r="85" ht="15.75" customHeight="1">
      <c r="A85" s="16"/>
      <c r="B85" s="16"/>
      <c r="C85" s="16"/>
      <c r="D85" s="16"/>
      <c r="E85" s="16"/>
      <c r="F85" s="16"/>
      <c r="G85" s="16"/>
      <c r="H85" s="16"/>
      <c r="I85" s="16"/>
      <c r="J85" s="16"/>
    </row>
    <row r="86" ht="15.75" customHeight="1">
      <c r="A86" s="16"/>
      <c r="B86" s="16"/>
      <c r="C86" s="16"/>
      <c r="D86" s="16"/>
      <c r="E86" s="16"/>
      <c r="F86" s="16"/>
      <c r="G86" s="16"/>
      <c r="H86" s="16"/>
      <c r="I86" s="16"/>
      <c r="J86" s="16"/>
    </row>
    <row r="87" ht="15.75" customHeight="1">
      <c r="A87" s="16"/>
      <c r="B87" s="16"/>
      <c r="C87" s="16"/>
      <c r="D87" s="16"/>
      <c r="E87" s="16"/>
      <c r="F87" s="16"/>
      <c r="G87" s="16"/>
      <c r="H87" s="16"/>
      <c r="I87" s="16"/>
      <c r="J87" s="16"/>
    </row>
    <row r="88" ht="15.75" customHeight="1">
      <c r="A88" s="16"/>
      <c r="B88" s="16"/>
      <c r="C88" s="16"/>
      <c r="D88" s="16"/>
      <c r="E88" s="16"/>
      <c r="F88" s="16"/>
      <c r="G88" s="16"/>
      <c r="H88" s="16"/>
      <c r="I88" s="16"/>
      <c r="J88" s="16"/>
    </row>
    <row r="89" ht="15.75" customHeight="1">
      <c r="A89" s="16"/>
      <c r="B89" s="16"/>
      <c r="C89" s="16"/>
      <c r="D89" s="16"/>
      <c r="E89" s="16"/>
      <c r="F89" s="16"/>
      <c r="G89" s="16"/>
      <c r="H89" s="16"/>
      <c r="I89" s="16"/>
      <c r="J89" s="16"/>
    </row>
    <row r="90" ht="15.75" customHeight="1">
      <c r="A90" s="16"/>
      <c r="B90" s="16"/>
      <c r="C90" s="16"/>
      <c r="D90" s="16"/>
      <c r="E90" s="16"/>
      <c r="F90" s="16"/>
      <c r="G90" s="16"/>
      <c r="H90" s="16"/>
      <c r="I90" s="16"/>
      <c r="J90" s="16"/>
    </row>
    <row r="91" ht="15.75" customHeight="1">
      <c r="A91" s="16"/>
      <c r="B91" s="16"/>
      <c r="C91" s="16"/>
      <c r="D91" s="16"/>
      <c r="E91" s="16"/>
      <c r="F91" s="16"/>
      <c r="G91" s="16"/>
      <c r="H91" s="16"/>
      <c r="I91" s="16"/>
      <c r="J91" s="16"/>
    </row>
    <row r="92" ht="15.75" customHeight="1">
      <c r="A92" s="16"/>
      <c r="B92" s="16"/>
      <c r="C92" s="16"/>
      <c r="D92" s="16"/>
      <c r="E92" s="16"/>
      <c r="F92" s="16"/>
      <c r="G92" s="16"/>
      <c r="H92" s="16"/>
      <c r="I92" s="16"/>
      <c r="J92" s="16"/>
    </row>
    <row r="93" ht="15.75" customHeight="1">
      <c r="A93" s="16"/>
      <c r="B93" s="16"/>
      <c r="C93" s="16"/>
      <c r="D93" s="16"/>
      <c r="E93" s="16"/>
      <c r="F93" s="16"/>
      <c r="G93" s="16"/>
      <c r="H93" s="16"/>
      <c r="I93" s="16"/>
      <c r="J93" s="16"/>
    </row>
    <row r="94" ht="15.75" customHeight="1">
      <c r="A94" s="16"/>
      <c r="B94" s="16"/>
      <c r="C94" s="16"/>
      <c r="D94" s="16"/>
      <c r="E94" s="16"/>
      <c r="F94" s="16"/>
      <c r="G94" s="16"/>
      <c r="H94" s="16"/>
      <c r="I94" s="16"/>
      <c r="J94" s="16"/>
    </row>
    <row r="95" ht="15.75" customHeight="1">
      <c r="A95" s="16"/>
      <c r="B95" s="16"/>
      <c r="C95" s="16"/>
      <c r="D95" s="16"/>
      <c r="E95" s="16"/>
      <c r="F95" s="16"/>
      <c r="G95" s="16"/>
      <c r="H95" s="16"/>
      <c r="I95" s="16"/>
      <c r="J95" s="16"/>
    </row>
    <row r="96" ht="15.75" customHeight="1">
      <c r="A96" s="16"/>
      <c r="B96" s="16"/>
      <c r="C96" s="16"/>
      <c r="D96" s="16"/>
      <c r="E96" s="16"/>
      <c r="F96" s="16"/>
      <c r="G96" s="16"/>
      <c r="H96" s="16"/>
      <c r="I96" s="16"/>
      <c r="J96" s="16"/>
    </row>
    <row r="97" ht="15.75" customHeight="1">
      <c r="A97" s="16"/>
      <c r="B97" s="16"/>
      <c r="C97" s="16"/>
      <c r="D97" s="16"/>
      <c r="E97" s="16"/>
      <c r="F97" s="16"/>
      <c r="G97" s="16"/>
      <c r="H97" s="16"/>
      <c r="I97" s="16"/>
      <c r="J97" s="16"/>
    </row>
    <row r="98" ht="15.75" customHeight="1">
      <c r="A98" s="16"/>
      <c r="B98" s="16"/>
      <c r="C98" s="16"/>
      <c r="D98" s="16"/>
      <c r="E98" s="16"/>
      <c r="F98" s="16"/>
      <c r="G98" s="16"/>
      <c r="H98" s="16"/>
      <c r="I98" s="16"/>
      <c r="J98" s="16"/>
    </row>
    <row r="99" ht="15.75" customHeight="1">
      <c r="A99" s="16"/>
      <c r="B99" s="16"/>
      <c r="C99" s="16"/>
      <c r="D99" s="16"/>
      <c r="E99" s="16"/>
      <c r="F99" s="16"/>
      <c r="G99" s="16"/>
      <c r="H99" s="16"/>
      <c r="I99" s="16"/>
      <c r="J99" s="16"/>
    </row>
    <row r="100" ht="15.75" customHeight="1">
      <c r="A100" s="16"/>
      <c r="B100" s="16"/>
      <c r="C100" s="16"/>
      <c r="D100" s="16"/>
      <c r="E100" s="16"/>
      <c r="F100" s="16"/>
      <c r="G100" s="16"/>
      <c r="H100" s="16"/>
      <c r="I100" s="16"/>
      <c r="J100" s="16"/>
    </row>
    <row r="101" ht="15.75" customHeight="1">
      <c r="A101" s="16"/>
      <c r="B101" s="16"/>
      <c r="C101" s="16"/>
      <c r="D101" s="16"/>
      <c r="E101" s="16"/>
      <c r="F101" s="16"/>
      <c r="G101" s="16"/>
      <c r="H101" s="16"/>
      <c r="I101" s="16"/>
      <c r="J101" s="16"/>
    </row>
    <row r="102" ht="15.75" customHeight="1">
      <c r="A102" s="16"/>
      <c r="B102" s="16"/>
      <c r="C102" s="16"/>
      <c r="D102" s="16"/>
      <c r="E102" s="16"/>
      <c r="F102" s="16"/>
      <c r="G102" s="16"/>
      <c r="H102" s="16"/>
      <c r="I102" s="16"/>
      <c r="J102" s="16"/>
    </row>
    <row r="103" ht="15.75" customHeight="1">
      <c r="A103" s="16"/>
      <c r="B103" s="16"/>
      <c r="C103" s="16"/>
      <c r="D103" s="16"/>
      <c r="E103" s="16"/>
      <c r="F103" s="16"/>
      <c r="G103" s="16"/>
      <c r="H103" s="16"/>
      <c r="I103" s="16"/>
      <c r="J103" s="16"/>
    </row>
    <row r="104" ht="15.75" customHeight="1">
      <c r="A104" s="16"/>
      <c r="B104" s="16"/>
      <c r="C104" s="16"/>
      <c r="D104" s="16"/>
      <c r="E104" s="16"/>
      <c r="F104" s="16"/>
      <c r="G104" s="16"/>
      <c r="H104" s="16"/>
      <c r="I104" s="16"/>
      <c r="J104" s="16"/>
    </row>
    <row r="105" ht="15.75" customHeight="1">
      <c r="A105" s="16"/>
      <c r="B105" s="16"/>
      <c r="C105" s="16"/>
      <c r="D105" s="16"/>
      <c r="E105" s="16"/>
      <c r="F105" s="16"/>
      <c r="G105" s="16"/>
      <c r="H105" s="16"/>
      <c r="I105" s="16"/>
      <c r="J105" s="16"/>
    </row>
    <row r="106" ht="15.75" customHeight="1">
      <c r="A106" s="16"/>
      <c r="B106" s="16"/>
      <c r="C106" s="16"/>
      <c r="D106" s="16"/>
      <c r="E106" s="16"/>
      <c r="F106" s="16"/>
      <c r="G106" s="16"/>
      <c r="H106" s="16"/>
      <c r="I106" s="16"/>
      <c r="J106" s="16"/>
    </row>
    <row r="107" ht="15.75" customHeight="1">
      <c r="A107" s="16"/>
      <c r="B107" s="16"/>
      <c r="C107" s="16"/>
      <c r="D107" s="16"/>
      <c r="E107" s="16"/>
      <c r="F107" s="16"/>
      <c r="G107" s="16"/>
      <c r="H107" s="16"/>
      <c r="I107" s="16"/>
      <c r="J107" s="16"/>
    </row>
    <row r="108" ht="15.75" customHeight="1">
      <c r="A108" s="16"/>
      <c r="B108" s="16"/>
      <c r="C108" s="16"/>
      <c r="D108" s="16"/>
      <c r="E108" s="16"/>
      <c r="F108" s="16"/>
      <c r="G108" s="16"/>
      <c r="H108" s="16"/>
      <c r="I108" s="16"/>
      <c r="J108" s="16"/>
    </row>
    <row r="109" ht="15.75" customHeight="1">
      <c r="A109" s="16"/>
      <c r="B109" s="16"/>
      <c r="C109" s="16"/>
      <c r="D109" s="16"/>
      <c r="E109" s="16"/>
      <c r="F109" s="16"/>
      <c r="G109" s="16"/>
      <c r="H109" s="16"/>
      <c r="I109" s="16"/>
      <c r="J109" s="16"/>
    </row>
    <row r="110" ht="15.75" customHeight="1">
      <c r="A110" s="16"/>
      <c r="B110" s="16"/>
      <c r="C110" s="16"/>
      <c r="D110" s="16"/>
      <c r="E110" s="16"/>
      <c r="F110" s="16"/>
      <c r="G110" s="16"/>
      <c r="H110" s="16"/>
      <c r="I110" s="16"/>
      <c r="J110" s="16"/>
    </row>
    <row r="111" ht="15.75" customHeight="1">
      <c r="A111" s="16"/>
      <c r="B111" s="16"/>
      <c r="C111" s="16"/>
      <c r="D111" s="16"/>
      <c r="E111" s="16"/>
      <c r="F111" s="16"/>
      <c r="G111" s="16"/>
      <c r="H111" s="16"/>
      <c r="I111" s="16"/>
      <c r="J111" s="16"/>
    </row>
    <row r="112" ht="15.75" customHeight="1">
      <c r="A112" s="16"/>
      <c r="B112" s="16"/>
      <c r="C112" s="16"/>
      <c r="D112" s="16"/>
      <c r="E112" s="16"/>
      <c r="F112" s="16"/>
      <c r="G112" s="16"/>
      <c r="H112" s="16"/>
      <c r="I112" s="16"/>
      <c r="J112" s="16"/>
    </row>
    <row r="113" ht="15.75" customHeight="1">
      <c r="A113" s="16"/>
      <c r="B113" s="16"/>
      <c r="C113" s="16"/>
      <c r="D113" s="16"/>
      <c r="E113" s="16"/>
      <c r="F113" s="16"/>
      <c r="G113" s="16"/>
      <c r="H113" s="16"/>
      <c r="I113" s="16"/>
      <c r="J113" s="16"/>
    </row>
    <row r="114" ht="15.75" customHeight="1">
      <c r="A114" s="16"/>
      <c r="B114" s="16"/>
      <c r="C114" s="16"/>
      <c r="D114" s="16"/>
      <c r="E114" s="16"/>
      <c r="F114" s="16"/>
      <c r="G114" s="16"/>
      <c r="H114" s="16"/>
      <c r="I114" s="16"/>
      <c r="J114" s="16"/>
    </row>
    <row r="115" ht="15.75" customHeight="1">
      <c r="A115" s="16"/>
      <c r="B115" s="16"/>
      <c r="C115" s="16"/>
      <c r="D115" s="16"/>
      <c r="E115" s="16"/>
      <c r="F115" s="16"/>
      <c r="G115" s="16"/>
      <c r="H115" s="16"/>
      <c r="I115" s="16"/>
      <c r="J115" s="16"/>
    </row>
    <row r="116" ht="15.75" customHeight="1">
      <c r="A116" s="16"/>
      <c r="B116" s="16"/>
      <c r="C116" s="16"/>
      <c r="D116" s="16"/>
      <c r="E116" s="16"/>
      <c r="F116" s="16"/>
      <c r="G116" s="16"/>
      <c r="H116" s="16"/>
      <c r="I116" s="16"/>
      <c r="J116" s="16"/>
    </row>
    <row r="117" ht="15.75" customHeight="1">
      <c r="A117" s="16"/>
      <c r="B117" s="16"/>
      <c r="C117" s="16"/>
      <c r="D117" s="16"/>
      <c r="E117" s="16"/>
      <c r="F117" s="16"/>
      <c r="G117" s="16"/>
      <c r="H117" s="16"/>
      <c r="I117" s="16"/>
      <c r="J117" s="16"/>
    </row>
    <row r="118" ht="15.75" customHeight="1">
      <c r="A118" s="16"/>
      <c r="B118" s="16"/>
      <c r="C118" s="16"/>
      <c r="D118" s="16"/>
      <c r="E118" s="16"/>
      <c r="F118" s="16"/>
      <c r="G118" s="16"/>
      <c r="H118" s="16"/>
      <c r="I118" s="16"/>
      <c r="J118" s="16"/>
    </row>
    <row r="119" ht="15.75" customHeight="1">
      <c r="A119" s="16"/>
      <c r="B119" s="16"/>
      <c r="C119" s="16"/>
      <c r="D119" s="16"/>
      <c r="E119" s="16"/>
      <c r="F119" s="16"/>
      <c r="G119" s="16"/>
      <c r="H119" s="16"/>
      <c r="I119" s="16"/>
      <c r="J119" s="16"/>
    </row>
    <row r="120" ht="15.75" customHeight="1">
      <c r="A120" s="16"/>
      <c r="B120" s="16"/>
      <c r="C120" s="16"/>
      <c r="D120" s="16"/>
      <c r="E120" s="16"/>
      <c r="F120" s="16"/>
      <c r="G120" s="16"/>
      <c r="H120" s="16"/>
      <c r="I120" s="16"/>
      <c r="J120" s="16"/>
    </row>
    <row r="121" ht="15.75" customHeight="1">
      <c r="A121" s="16"/>
      <c r="B121" s="16"/>
      <c r="C121" s="16"/>
      <c r="D121" s="16"/>
      <c r="E121" s="16"/>
      <c r="F121" s="16"/>
      <c r="G121" s="16"/>
      <c r="H121" s="16"/>
      <c r="I121" s="16"/>
      <c r="J121" s="16"/>
    </row>
    <row r="122" ht="15.75" customHeight="1">
      <c r="A122" s="16"/>
      <c r="B122" s="16"/>
      <c r="C122" s="16"/>
      <c r="D122" s="16"/>
      <c r="E122" s="16"/>
      <c r="F122" s="16"/>
      <c r="G122" s="16"/>
      <c r="H122" s="16"/>
      <c r="I122" s="16"/>
      <c r="J122" s="16"/>
    </row>
    <row r="123" ht="15.75" customHeight="1">
      <c r="A123" s="16"/>
      <c r="B123" s="16"/>
      <c r="C123" s="16"/>
      <c r="D123" s="16"/>
      <c r="E123" s="16"/>
      <c r="F123" s="16"/>
      <c r="G123" s="16"/>
      <c r="H123" s="16"/>
      <c r="I123" s="16"/>
      <c r="J123" s="16"/>
    </row>
    <row r="124" ht="15.75" customHeight="1">
      <c r="A124" s="16"/>
      <c r="B124" s="16"/>
      <c r="C124" s="16"/>
      <c r="D124" s="16"/>
      <c r="E124" s="16"/>
      <c r="F124" s="16"/>
      <c r="G124" s="16"/>
      <c r="H124" s="16"/>
      <c r="I124" s="16"/>
      <c r="J124" s="16"/>
    </row>
    <row r="125" ht="15.75" customHeight="1">
      <c r="A125" s="16"/>
      <c r="B125" s="16"/>
      <c r="C125" s="16"/>
      <c r="D125" s="16"/>
      <c r="E125" s="16"/>
      <c r="F125" s="16"/>
      <c r="G125" s="16"/>
      <c r="H125" s="16"/>
      <c r="I125" s="16"/>
      <c r="J125" s="16"/>
    </row>
    <row r="126" ht="15.75" customHeight="1">
      <c r="A126" s="16"/>
      <c r="B126" s="16"/>
      <c r="C126" s="16"/>
      <c r="D126" s="16"/>
      <c r="E126" s="16"/>
      <c r="F126" s="16"/>
      <c r="G126" s="16"/>
      <c r="H126" s="16"/>
      <c r="I126" s="16"/>
      <c r="J126" s="16"/>
    </row>
    <row r="127" ht="15.75" customHeight="1">
      <c r="A127" s="16"/>
      <c r="B127" s="16"/>
      <c r="C127" s="16"/>
      <c r="D127" s="16"/>
      <c r="E127" s="16"/>
      <c r="F127" s="16"/>
      <c r="G127" s="16"/>
      <c r="H127" s="16"/>
      <c r="I127" s="16"/>
      <c r="J127" s="16"/>
    </row>
    <row r="128" ht="15.75" customHeight="1">
      <c r="A128" s="16"/>
      <c r="B128" s="16"/>
      <c r="C128" s="16"/>
      <c r="D128" s="16"/>
      <c r="E128" s="16"/>
      <c r="F128" s="16"/>
      <c r="G128" s="16"/>
      <c r="H128" s="16"/>
      <c r="I128" s="16"/>
      <c r="J128" s="16"/>
    </row>
    <row r="129" ht="15.75" customHeight="1">
      <c r="A129" s="16"/>
      <c r="B129" s="16"/>
      <c r="C129" s="16"/>
      <c r="D129" s="16"/>
      <c r="E129" s="16"/>
      <c r="F129" s="16"/>
      <c r="G129" s="16"/>
      <c r="H129" s="16"/>
      <c r="I129" s="16"/>
      <c r="J129" s="16"/>
    </row>
    <row r="130" ht="15.75" customHeight="1">
      <c r="A130" s="16"/>
      <c r="B130" s="16"/>
      <c r="C130" s="16"/>
      <c r="D130" s="16"/>
      <c r="E130" s="16"/>
      <c r="F130" s="16"/>
      <c r="G130" s="16"/>
      <c r="H130" s="16"/>
      <c r="I130" s="16"/>
      <c r="J130" s="16"/>
    </row>
    <row r="131" ht="15.75" customHeight="1">
      <c r="A131" s="16"/>
      <c r="B131" s="16"/>
      <c r="C131" s="16"/>
      <c r="D131" s="16"/>
      <c r="E131" s="16"/>
      <c r="F131" s="16"/>
      <c r="G131" s="16"/>
      <c r="H131" s="16"/>
      <c r="I131" s="16"/>
      <c r="J131" s="16"/>
    </row>
    <row r="132" ht="15.75" customHeight="1">
      <c r="A132" s="16"/>
      <c r="B132" s="16"/>
      <c r="C132" s="16"/>
      <c r="D132" s="16"/>
      <c r="E132" s="16"/>
      <c r="F132" s="16"/>
      <c r="G132" s="16"/>
      <c r="H132" s="16"/>
      <c r="I132" s="16"/>
      <c r="J132" s="16"/>
    </row>
    <row r="133" ht="15.75" customHeight="1">
      <c r="A133" s="16"/>
      <c r="B133" s="16"/>
      <c r="C133" s="16"/>
      <c r="D133" s="16"/>
      <c r="E133" s="16"/>
      <c r="F133" s="16"/>
      <c r="G133" s="16"/>
      <c r="H133" s="16"/>
      <c r="I133" s="16"/>
      <c r="J133" s="16"/>
    </row>
    <row r="134" ht="15.75" customHeight="1">
      <c r="D134" s="25"/>
      <c r="H134" s="25"/>
    </row>
    <row r="135" ht="15.75" customHeight="1">
      <c r="D135" s="25"/>
      <c r="H135" s="25"/>
    </row>
    <row r="136" ht="15.75" customHeight="1">
      <c r="D136" s="25"/>
      <c r="H136" s="25"/>
    </row>
    <row r="137" ht="15.75" customHeight="1">
      <c r="D137" s="25"/>
      <c r="H137" s="25"/>
    </row>
    <row r="138" ht="15.75" customHeight="1">
      <c r="D138" s="25"/>
      <c r="H138" s="25"/>
    </row>
    <row r="139" ht="15.75" customHeight="1">
      <c r="D139" s="25"/>
      <c r="H139" s="25"/>
    </row>
    <row r="140" ht="15.75" customHeight="1">
      <c r="D140" s="25"/>
      <c r="H140" s="25"/>
    </row>
    <row r="141" ht="15.75" customHeight="1">
      <c r="D141" s="25"/>
      <c r="H141" s="25"/>
    </row>
    <row r="142" ht="15.75" customHeight="1">
      <c r="D142" s="25"/>
      <c r="H142" s="25"/>
    </row>
    <row r="143" ht="15.75" customHeight="1">
      <c r="D143" s="25"/>
      <c r="H143" s="25"/>
    </row>
    <row r="144" ht="15.75" customHeight="1">
      <c r="D144" s="25"/>
      <c r="H144" s="25"/>
    </row>
    <row r="145" ht="15.75" customHeight="1">
      <c r="D145" s="25"/>
      <c r="H145" s="25"/>
    </row>
    <row r="146" ht="15.75" customHeight="1">
      <c r="D146" s="25"/>
      <c r="H146" s="25"/>
    </row>
    <row r="147" ht="15.75" customHeight="1">
      <c r="D147" s="25"/>
      <c r="H147" s="25"/>
    </row>
    <row r="148" ht="15.75" customHeight="1">
      <c r="D148" s="25"/>
      <c r="H148" s="25"/>
    </row>
    <row r="149" ht="15.75" customHeight="1">
      <c r="D149" s="25"/>
      <c r="H149" s="25"/>
    </row>
    <row r="150" ht="15.75" customHeight="1">
      <c r="D150" s="25"/>
      <c r="H150" s="25"/>
    </row>
    <row r="151" ht="15.75" customHeight="1">
      <c r="D151" s="25"/>
      <c r="H151" s="25"/>
    </row>
    <row r="152" ht="15.75" customHeight="1">
      <c r="D152" s="25"/>
      <c r="H152" s="25"/>
    </row>
    <row r="153" ht="15.75" customHeight="1">
      <c r="D153" s="25"/>
      <c r="H153" s="25"/>
    </row>
    <row r="154" ht="15.75" customHeight="1">
      <c r="D154" s="25"/>
      <c r="H154" s="25"/>
    </row>
    <row r="155" ht="15.75" customHeight="1">
      <c r="D155" s="25"/>
      <c r="H155" s="25"/>
    </row>
    <row r="156" ht="15.75" customHeight="1">
      <c r="D156" s="25"/>
      <c r="H156" s="25"/>
    </row>
    <row r="157" ht="15.75" customHeight="1">
      <c r="D157" s="25"/>
      <c r="H157" s="25"/>
    </row>
    <row r="158" ht="15.75" customHeight="1">
      <c r="D158" s="25"/>
      <c r="H158" s="25"/>
    </row>
    <row r="159" ht="15.75" customHeight="1">
      <c r="D159" s="25"/>
      <c r="H159" s="25"/>
    </row>
    <row r="160" ht="15.75" customHeight="1">
      <c r="D160" s="25"/>
      <c r="H160" s="25"/>
    </row>
    <row r="161" ht="15.75" customHeight="1">
      <c r="D161" s="25"/>
      <c r="H161" s="25"/>
    </row>
    <row r="162" ht="15.75" customHeight="1">
      <c r="D162" s="25"/>
      <c r="H162" s="25"/>
    </row>
    <row r="163" ht="15.75" customHeight="1">
      <c r="D163" s="25"/>
      <c r="H163" s="25"/>
    </row>
    <row r="164" ht="15.75" customHeight="1">
      <c r="D164" s="25"/>
      <c r="H164" s="25"/>
    </row>
    <row r="165" ht="15.75" customHeight="1">
      <c r="D165" s="25"/>
      <c r="H165" s="25"/>
    </row>
    <row r="166" ht="15.75" customHeight="1">
      <c r="D166" s="25"/>
      <c r="H166" s="25"/>
    </row>
    <row r="167" ht="15.75" customHeight="1">
      <c r="D167" s="25"/>
      <c r="H167" s="25"/>
    </row>
    <row r="168" ht="15.75" customHeight="1">
      <c r="D168" s="25"/>
      <c r="H168" s="25"/>
    </row>
    <row r="169" ht="15.75" customHeight="1">
      <c r="D169" s="25"/>
      <c r="H169" s="25"/>
    </row>
    <row r="170" ht="15.75" customHeight="1">
      <c r="D170" s="25"/>
      <c r="H170" s="25"/>
    </row>
    <row r="171" ht="15.75" customHeight="1">
      <c r="D171" s="25"/>
      <c r="H171" s="25"/>
    </row>
    <row r="172" ht="15.75" customHeight="1">
      <c r="D172" s="25"/>
      <c r="H172" s="25"/>
    </row>
    <row r="173" ht="15.75" customHeight="1">
      <c r="D173" s="25"/>
      <c r="H173" s="25"/>
    </row>
    <row r="174" ht="15.75" customHeight="1">
      <c r="D174" s="25"/>
      <c r="H174" s="25"/>
    </row>
    <row r="175" ht="15.75" customHeight="1">
      <c r="D175" s="25"/>
      <c r="H175" s="25"/>
    </row>
    <row r="176" ht="15.75" customHeight="1">
      <c r="D176" s="25"/>
      <c r="H176" s="25"/>
    </row>
    <row r="177" ht="15.75" customHeight="1">
      <c r="D177" s="25"/>
      <c r="H177" s="25"/>
    </row>
    <row r="178" ht="15.75" customHeight="1">
      <c r="D178" s="25"/>
      <c r="H178" s="25"/>
    </row>
    <row r="179" ht="15.75" customHeight="1">
      <c r="D179" s="25"/>
      <c r="H179" s="25"/>
    </row>
    <row r="180" ht="15.75" customHeight="1">
      <c r="D180" s="25"/>
      <c r="H180" s="25"/>
    </row>
    <row r="181" ht="15.75" customHeight="1">
      <c r="D181" s="25"/>
      <c r="H181" s="25"/>
    </row>
    <row r="182" ht="15.75" customHeight="1">
      <c r="D182" s="25"/>
      <c r="H182" s="25"/>
    </row>
    <row r="183" ht="15.75" customHeight="1">
      <c r="D183" s="25"/>
      <c r="H183" s="25"/>
    </row>
    <row r="184" ht="15.75" customHeight="1">
      <c r="D184" s="25"/>
      <c r="H184" s="25"/>
    </row>
    <row r="185" ht="15.75" customHeight="1">
      <c r="D185" s="25"/>
      <c r="H185" s="25"/>
    </row>
    <row r="186" ht="15.75" customHeight="1">
      <c r="D186" s="25"/>
      <c r="H186" s="25"/>
    </row>
    <row r="187" ht="15.75" customHeight="1">
      <c r="D187" s="25"/>
      <c r="H187" s="25"/>
    </row>
    <row r="188" ht="15.75" customHeight="1">
      <c r="D188" s="25"/>
      <c r="H188" s="25"/>
    </row>
    <row r="189" ht="15.75" customHeight="1">
      <c r="D189" s="25"/>
      <c r="H189" s="25"/>
    </row>
    <row r="190" ht="15.75" customHeight="1">
      <c r="D190" s="25"/>
      <c r="H190" s="25"/>
    </row>
    <row r="191" ht="15.75" customHeight="1">
      <c r="D191" s="25"/>
      <c r="H191" s="25"/>
    </row>
    <row r="192" ht="15.75" customHeight="1">
      <c r="D192" s="25"/>
      <c r="H192" s="25"/>
    </row>
    <row r="193" ht="15.75" customHeight="1">
      <c r="D193" s="25"/>
      <c r="H193" s="25"/>
    </row>
    <row r="194" ht="15.75" customHeight="1">
      <c r="D194" s="25"/>
      <c r="H194" s="25"/>
    </row>
    <row r="195" ht="15.75" customHeight="1">
      <c r="D195" s="25"/>
      <c r="H195" s="25"/>
    </row>
    <row r="196" ht="15.75" customHeight="1">
      <c r="D196" s="25"/>
      <c r="H196" s="25"/>
    </row>
    <row r="197" ht="15.75" customHeight="1">
      <c r="D197" s="25"/>
      <c r="H197" s="25"/>
    </row>
    <row r="198" ht="15.75" customHeight="1">
      <c r="D198" s="25"/>
      <c r="H198" s="25"/>
    </row>
    <row r="199" ht="15.75" customHeight="1">
      <c r="D199" s="25"/>
      <c r="H199" s="25"/>
    </row>
    <row r="200" ht="15.75" customHeight="1">
      <c r="D200" s="25"/>
      <c r="H200" s="25"/>
    </row>
    <row r="201" ht="15.75" customHeight="1">
      <c r="D201" s="25"/>
      <c r="H201" s="25"/>
    </row>
    <row r="202" ht="15.75" customHeight="1">
      <c r="D202" s="25"/>
      <c r="H202" s="25"/>
    </row>
    <row r="203" ht="15.75" customHeight="1">
      <c r="D203" s="25"/>
      <c r="H203" s="25"/>
    </row>
    <row r="204" ht="15.75" customHeight="1">
      <c r="D204" s="25"/>
      <c r="H204" s="25"/>
    </row>
    <row r="205" ht="15.75" customHeight="1">
      <c r="D205" s="25"/>
      <c r="H205" s="25"/>
    </row>
    <row r="206" ht="15.75" customHeight="1">
      <c r="D206" s="25"/>
      <c r="H206" s="25"/>
    </row>
    <row r="207" ht="15.75" customHeight="1">
      <c r="D207" s="25"/>
      <c r="H207" s="25"/>
    </row>
    <row r="208" ht="15.75" customHeight="1">
      <c r="D208" s="25"/>
      <c r="H208" s="25"/>
    </row>
    <row r="209" ht="15.75" customHeight="1">
      <c r="D209" s="25"/>
      <c r="H209" s="25"/>
    </row>
    <row r="210" ht="15.75" customHeight="1">
      <c r="D210" s="25"/>
      <c r="H210" s="25"/>
    </row>
    <row r="211" ht="15.75" customHeight="1">
      <c r="D211" s="25"/>
      <c r="H211" s="25"/>
    </row>
    <row r="212" ht="15.75" customHeight="1">
      <c r="D212" s="25"/>
      <c r="H212" s="25"/>
    </row>
    <row r="213" ht="15.75" customHeight="1">
      <c r="D213" s="25"/>
      <c r="H213" s="25"/>
    </row>
    <row r="214" ht="15.75" customHeight="1">
      <c r="D214" s="25"/>
      <c r="H214" s="25"/>
    </row>
    <row r="215" ht="15.75" customHeight="1">
      <c r="D215" s="25"/>
      <c r="H215" s="25"/>
    </row>
    <row r="216" ht="15.75" customHeight="1">
      <c r="D216" s="25"/>
      <c r="H216" s="25"/>
    </row>
    <row r="217" ht="15.75" customHeight="1">
      <c r="D217" s="25"/>
      <c r="H217" s="25"/>
    </row>
    <row r="218" ht="15.75" customHeight="1">
      <c r="D218" s="25"/>
      <c r="H218" s="25"/>
    </row>
    <row r="219" ht="15.75" customHeight="1">
      <c r="D219" s="25"/>
      <c r="H219" s="25"/>
    </row>
    <row r="220" ht="15.75" customHeight="1">
      <c r="D220" s="28"/>
      <c r="H220" s="28"/>
    </row>
    <row r="221" ht="15.75" customHeight="1">
      <c r="D221" s="28"/>
      <c r="H221" s="28"/>
    </row>
    <row r="222" ht="15.75" customHeight="1">
      <c r="D222" s="28"/>
      <c r="H222" s="28"/>
    </row>
    <row r="223" ht="15.75" customHeight="1">
      <c r="D223" s="28"/>
      <c r="H223" s="28"/>
    </row>
    <row r="224" ht="15.75" customHeight="1">
      <c r="D224" s="28"/>
      <c r="H224" s="28"/>
    </row>
    <row r="225" ht="15.75" customHeight="1">
      <c r="D225" s="28"/>
      <c r="H225" s="28"/>
    </row>
    <row r="226" ht="15.75" customHeight="1">
      <c r="D226" s="28"/>
      <c r="H226" s="28"/>
    </row>
    <row r="227" ht="15.75" customHeight="1">
      <c r="D227" s="28"/>
      <c r="H227" s="28"/>
    </row>
    <row r="228" ht="15.75" customHeight="1">
      <c r="D228" s="28"/>
      <c r="H228" s="28"/>
    </row>
    <row r="229" ht="15.75" customHeight="1">
      <c r="D229" s="28"/>
      <c r="H229" s="28"/>
    </row>
    <row r="230" ht="15.75" customHeight="1">
      <c r="D230" s="28"/>
      <c r="H230" s="28"/>
    </row>
    <row r="231" ht="15.75" customHeight="1">
      <c r="D231" s="28"/>
      <c r="H231" s="28"/>
    </row>
    <row r="232" ht="15.75" customHeight="1">
      <c r="D232" s="28"/>
      <c r="H232" s="28"/>
    </row>
    <row r="233" ht="15.75" customHeight="1">
      <c r="D233" s="28"/>
      <c r="H233" s="28"/>
    </row>
    <row r="234" ht="15.75" customHeight="1">
      <c r="D234" s="28"/>
      <c r="H234" s="28"/>
    </row>
    <row r="235" ht="15.75" customHeight="1">
      <c r="D235" s="28"/>
      <c r="H235" s="28"/>
    </row>
    <row r="236" ht="15.75" customHeight="1">
      <c r="D236" s="28"/>
      <c r="H236" s="28"/>
    </row>
    <row r="237" ht="15.75" customHeight="1">
      <c r="D237" s="28"/>
      <c r="H237" s="28"/>
    </row>
    <row r="238" ht="15.75" customHeight="1">
      <c r="D238" s="28"/>
      <c r="H238" s="28"/>
    </row>
    <row r="239" ht="15.75" customHeight="1">
      <c r="D239" s="28"/>
      <c r="H239" s="28"/>
    </row>
    <row r="240" ht="15.75" customHeight="1">
      <c r="D240" s="28"/>
      <c r="H240" s="28"/>
    </row>
    <row r="241" ht="15.75" customHeight="1">
      <c r="D241" s="28"/>
      <c r="H241" s="28"/>
    </row>
    <row r="242" ht="15.75" customHeight="1">
      <c r="D242" s="28"/>
      <c r="H242" s="28"/>
    </row>
    <row r="243" ht="15.75" customHeight="1">
      <c r="D243" s="28"/>
      <c r="H243" s="28"/>
    </row>
    <row r="244" ht="15.75" customHeight="1">
      <c r="D244" s="28"/>
      <c r="H244" s="28"/>
    </row>
    <row r="245" ht="15.75" customHeight="1">
      <c r="D245" s="28"/>
      <c r="H245" s="28"/>
    </row>
    <row r="246" ht="15.75" customHeight="1">
      <c r="D246" s="28"/>
      <c r="H246" s="28"/>
    </row>
    <row r="247" ht="15.75" customHeight="1">
      <c r="D247" s="28"/>
      <c r="H247" s="28"/>
    </row>
    <row r="248" ht="15.75" customHeight="1">
      <c r="D248" s="28"/>
      <c r="H248" s="28"/>
    </row>
    <row r="249" ht="15.75" customHeight="1">
      <c r="D249" s="28"/>
      <c r="H249" s="28"/>
    </row>
    <row r="250" ht="15.75" customHeight="1">
      <c r="D250" s="28"/>
      <c r="H250" s="28"/>
    </row>
    <row r="251" ht="15.75" customHeight="1">
      <c r="D251" s="28"/>
      <c r="H251" s="28"/>
    </row>
    <row r="252" ht="15.75" customHeight="1">
      <c r="D252" s="28"/>
      <c r="H252" s="28"/>
    </row>
    <row r="253" ht="15.75" customHeight="1">
      <c r="D253" s="28"/>
      <c r="H253" s="28"/>
    </row>
    <row r="254" ht="15.75" customHeight="1">
      <c r="D254" s="28"/>
      <c r="H254" s="28"/>
    </row>
    <row r="255" ht="15.75" customHeight="1">
      <c r="D255" s="28"/>
      <c r="H255" s="28"/>
    </row>
    <row r="256" ht="15.75" customHeight="1">
      <c r="D256" s="28"/>
      <c r="H256" s="28"/>
    </row>
    <row r="257" ht="15.75" customHeight="1">
      <c r="D257" s="28"/>
      <c r="H257" s="28"/>
    </row>
    <row r="258" ht="15.75" customHeight="1">
      <c r="D258" s="28"/>
      <c r="H258" s="28"/>
    </row>
    <row r="259" ht="15.75" customHeight="1">
      <c r="D259" s="28"/>
      <c r="H259" s="28"/>
    </row>
    <row r="260" ht="15.75" customHeight="1">
      <c r="D260" s="28"/>
      <c r="H260" s="28"/>
    </row>
    <row r="261" ht="15.75" customHeight="1">
      <c r="D261" s="28"/>
      <c r="H261" s="28"/>
    </row>
    <row r="262" ht="15.75" customHeight="1">
      <c r="D262" s="28"/>
      <c r="H262" s="28"/>
    </row>
    <row r="263" ht="15.75" customHeight="1">
      <c r="D263" s="28"/>
      <c r="H263" s="28"/>
    </row>
    <row r="264" ht="15.75" customHeight="1">
      <c r="D264" s="28"/>
      <c r="H264" s="28"/>
    </row>
    <row r="265" ht="15.75" customHeight="1">
      <c r="D265" s="28"/>
      <c r="H265" s="28"/>
    </row>
    <row r="266" ht="15.75" customHeight="1">
      <c r="D266" s="28"/>
      <c r="H266" s="28"/>
    </row>
    <row r="267" ht="15.75" customHeight="1">
      <c r="D267" s="28"/>
      <c r="H267" s="28"/>
    </row>
    <row r="268" ht="15.75" customHeight="1">
      <c r="D268" s="28"/>
      <c r="H268" s="28"/>
    </row>
    <row r="269" ht="15.75" customHeight="1">
      <c r="D269" s="28"/>
      <c r="H269" s="28"/>
    </row>
    <row r="270" ht="15.75" customHeight="1">
      <c r="D270" s="28"/>
      <c r="H270" s="28"/>
    </row>
    <row r="271" ht="15.75" customHeight="1">
      <c r="D271" s="28"/>
      <c r="H271" s="28"/>
    </row>
    <row r="272" ht="15.75" customHeight="1">
      <c r="D272" s="28"/>
      <c r="H272" s="28"/>
    </row>
    <row r="273" ht="15.75" customHeight="1">
      <c r="D273" s="28"/>
      <c r="H273" s="28"/>
    </row>
    <row r="274" ht="15.75" customHeight="1">
      <c r="D274" s="28"/>
      <c r="H274" s="28"/>
    </row>
    <row r="275" ht="15.75" customHeight="1">
      <c r="D275" s="28"/>
      <c r="H275" s="28"/>
    </row>
    <row r="276" ht="15.75" customHeight="1">
      <c r="D276" s="28"/>
      <c r="H276" s="28"/>
    </row>
    <row r="277" ht="15.75" customHeight="1">
      <c r="D277" s="28"/>
      <c r="H277" s="28"/>
    </row>
    <row r="278" ht="15.75" customHeight="1">
      <c r="D278" s="28"/>
      <c r="H278" s="28"/>
    </row>
    <row r="279" ht="15.75" customHeight="1">
      <c r="D279" s="28"/>
      <c r="H279" s="28"/>
    </row>
    <row r="280" ht="15.75" customHeight="1">
      <c r="D280" s="28"/>
      <c r="H280" s="28"/>
    </row>
    <row r="281" ht="15.75" customHeight="1">
      <c r="D281" s="28"/>
      <c r="H281" s="28"/>
    </row>
    <row r="282" ht="15.75" customHeight="1">
      <c r="D282" s="28"/>
      <c r="H282" s="28"/>
    </row>
    <row r="283" ht="15.75" customHeight="1">
      <c r="D283" s="28"/>
      <c r="H283" s="28"/>
    </row>
    <row r="284" ht="15.75" customHeight="1">
      <c r="D284" s="28"/>
      <c r="H284" s="28"/>
    </row>
    <row r="285" ht="15.75" customHeight="1">
      <c r="D285" s="28"/>
      <c r="H285" s="28"/>
    </row>
    <row r="286" ht="15.75" customHeight="1">
      <c r="D286" s="28"/>
      <c r="H286" s="28"/>
    </row>
    <row r="287" ht="15.75" customHeight="1">
      <c r="D287" s="28"/>
      <c r="H287" s="28"/>
    </row>
    <row r="288" ht="15.75" customHeight="1">
      <c r="D288" s="28"/>
      <c r="H288" s="28"/>
    </row>
    <row r="289" ht="15.75" customHeight="1">
      <c r="D289" s="28"/>
      <c r="H289" s="28"/>
    </row>
    <row r="290" ht="15.75" customHeight="1">
      <c r="D290" s="28"/>
      <c r="H290" s="28"/>
    </row>
    <row r="291" ht="15.75" customHeight="1">
      <c r="D291" s="28"/>
      <c r="H291" s="28"/>
    </row>
    <row r="292" ht="15.75" customHeight="1">
      <c r="D292" s="28"/>
      <c r="H292" s="28"/>
    </row>
    <row r="293" ht="15.75" customHeight="1">
      <c r="D293" s="28"/>
      <c r="H293" s="28"/>
    </row>
    <row r="294" ht="15.75" customHeight="1">
      <c r="D294" s="28"/>
      <c r="H294" s="28"/>
    </row>
    <row r="295" ht="15.75" customHeight="1">
      <c r="D295" s="28"/>
      <c r="H295" s="28"/>
    </row>
    <row r="296" ht="15.75" customHeight="1">
      <c r="D296" s="28"/>
      <c r="H296" s="28"/>
    </row>
    <row r="297" ht="15.75" customHeight="1">
      <c r="D297" s="28"/>
      <c r="H297" s="28"/>
    </row>
    <row r="298" ht="15.75" customHeight="1">
      <c r="D298" s="28"/>
      <c r="H298" s="28"/>
    </row>
    <row r="299" ht="15.75" customHeight="1">
      <c r="D299" s="28"/>
      <c r="H299" s="28"/>
    </row>
    <row r="300" ht="15.75" customHeight="1">
      <c r="D300" s="28"/>
      <c r="H300" s="28"/>
    </row>
    <row r="301" ht="15.75" customHeight="1">
      <c r="D301" s="28"/>
      <c r="H301" s="28"/>
    </row>
    <row r="302" ht="15.75" customHeight="1">
      <c r="D302" s="28"/>
      <c r="H302" s="28"/>
    </row>
    <row r="303" ht="15.75" customHeight="1">
      <c r="D303" s="28"/>
      <c r="H303" s="28"/>
    </row>
    <row r="304" ht="15.75" customHeight="1">
      <c r="D304" s="28"/>
      <c r="H304" s="28"/>
    </row>
    <row r="305" ht="15.75" customHeight="1">
      <c r="D305" s="28"/>
      <c r="H305" s="28"/>
    </row>
    <row r="306" ht="15.75" customHeight="1">
      <c r="D306" s="28"/>
      <c r="H306" s="28"/>
    </row>
    <row r="307" ht="15.75" customHeight="1">
      <c r="D307" s="28"/>
      <c r="H307" s="28"/>
    </row>
    <row r="308" ht="15.75" customHeight="1">
      <c r="D308" s="28"/>
      <c r="H308" s="28"/>
    </row>
    <row r="309" ht="15.75" customHeight="1">
      <c r="D309" s="28"/>
      <c r="H309" s="28"/>
    </row>
    <row r="310" ht="15.75" customHeight="1">
      <c r="D310" s="28"/>
      <c r="H310" s="28"/>
    </row>
    <row r="311" ht="15.75" customHeight="1">
      <c r="D311" s="28"/>
      <c r="H311" s="28"/>
    </row>
    <row r="312" ht="15.75" customHeight="1">
      <c r="D312" s="28"/>
      <c r="H312" s="28"/>
    </row>
    <row r="313" ht="15.75" customHeight="1">
      <c r="D313" s="28"/>
      <c r="H313" s="28"/>
    </row>
    <row r="314" ht="15.75" customHeight="1">
      <c r="D314" s="28"/>
      <c r="H314" s="28"/>
    </row>
    <row r="315" ht="15.75" customHeight="1">
      <c r="D315" s="28"/>
      <c r="H315" s="28"/>
    </row>
    <row r="316" ht="15.75" customHeight="1">
      <c r="D316" s="28"/>
      <c r="H316" s="28"/>
    </row>
    <row r="317" ht="15.75" customHeight="1">
      <c r="D317" s="28"/>
      <c r="H317" s="28"/>
    </row>
    <row r="318" ht="15.75" customHeight="1">
      <c r="D318" s="28"/>
      <c r="H318" s="28"/>
    </row>
    <row r="319" ht="15.75" customHeight="1">
      <c r="D319" s="28"/>
      <c r="H319" s="28"/>
    </row>
    <row r="320" ht="15.75" customHeight="1">
      <c r="D320" s="28"/>
      <c r="H320" s="28"/>
    </row>
    <row r="321" ht="15.75" customHeight="1">
      <c r="D321" s="28"/>
      <c r="H321" s="28"/>
    </row>
    <row r="322" ht="15.75" customHeight="1">
      <c r="D322" s="28"/>
      <c r="H322" s="28"/>
    </row>
    <row r="323" ht="15.75" customHeight="1">
      <c r="D323" s="28"/>
      <c r="H323" s="28"/>
    </row>
    <row r="324" ht="15.75" customHeight="1">
      <c r="D324" s="28"/>
      <c r="H324" s="28"/>
    </row>
    <row r="325" ht="15.75" customHeight="1">
      <c r="D325" s="28"/>
      <c r="H325" s="28"/>
    </row>
    <row r="326" ht="15.75" customHeight="1">
      <c r="D326" s="28"/>
      <c r="H326" s="28"/>
    </row>
    <row r="327" ht="15.75" customHeight="1">
      <c r="D327" s="28"/>
      <c r="H327" s="28"/>
    </row>
    <row r="328" ht="15.75" customHeight="1">
      <c r="D328" s="28"/>
      <c r="H328" s="28"/>
    </row>
    <row r="329" ht="15.75" customHeight="1">
      <c r="D329" s="28"/>
      <c r="H329" s="28"/>
    </row>
    <row r="330" ht="15.75" customHeight="1">
      <c r="D330" s="28"/>
      <c r="H330" s="28"/>
    </row>
    <row r="331" ht="15.75" customHeight="1">
      <c r="D331" s="28"/>
      <c r="H331" s="28"/>
    </row>
    <row r="332" ht="15.75" customHeight="1">
      <c r="D332" s="28"/>
      <c r="H332" s="28"/>
    </row>
    <row r="333" ht="15.75" customHeight="1">
      <c r="D333" s="28"/>
      <c r="H333" s="28"/>
    </row>
    <row r="334" ht="15.75" customHeight="1">
      <c r="D334" s="28"/>
      <c r="H334" s="28"/>
    </row>
    <row r="335" ht="15.75" customHeight="1">
      <c r="D335" s="28"/>
      <c r="H335" s="28"/>
    </row>
    <row r="336" ht="15.75" customHeight="1">
      <c r="D336" s="28"/>
      <c r="H336" s="28"/>
    </row>
    <row r="337" ht="15.75" customHeight="1">
      <c r="D337" s="28"/>
      <c r="H337" s="28"/>
    </row>
    <row r="338" ht="15.75" customHeight="1">
      <c r="D338" s="28"/>
      <c r="H338" s="28"/>
    </row>
    <row r="339" ht="15.75" customHeight="1">
      <c r="D339" s="28"/>
      <c r="H339" s="28"/>
    </row>
    <row r="340" ht="15.75" customHeight="1">
      <c r="D340" s="28"/>
      <c r="H340" s="28"/>
    </row>
    <row r="341" ht="15.75" customHeight="1">
      <c r="D341" s="28"/>
      <c r="H341" s="28"/>
    </row>
    <row r="342" ht="15.75" customHeight="1">
      <c r="D342" s="28"/>
      <c r="H342" s="28"/>
    </row>
    <row r="343" ht="15.75" customHeight="1">
      <c r="D343" s="28"/>
      <c r="H343" s="28"/>
    </row>
    <row r="344" ht="15.75" customHeight="1">
      <c r="D344" s="28"/>
      <c r="H344" s="28"/>
    </row>
    <row r="345" ht="15.75" customHeight="1">
      <c r="D345" s="28"/>
      <c r="H345" s="28"/>
    </row>
    <row r="346" ht="15.75" customHeight="1">
      <c r="D346" s="28"/>
      <c r="H346" s="28"/>
    </row>
    <row r="347" ht="15.75" customHeight="1">
      <c r="D347" s="28"/>
      <c r="H347" s="28"/>
    </row>
    <row r="348" ht="15.75" customHeight="1">
      <c r="D348" s="28"/>
      <c r="H348" s="28"/>
    </row>
    <row r="349" ht="15.75" customHeight="1">
      <c r="D349" s="28"/>
      <c r="H349" s="28"/>
    </row>
    <row r="350" ht="15.75" customHeight="1">
      <c r="D350" s="28"/>
      <c r="H350" s="28"/>
    </row>
    <row r="351" ht="15.75" customHeight="1">
      <c r="D351" s="28"/>
      <c r="H351" s="28"/>
    </row>
    <row r="352" ht="15.75" customHeight="1">
      <c r="D352" s="28"/>
      <c r="H352" s="28"/>
    </row>
    <row r="353" ht="15.75" customHeight="1">
      <c r="D353" s="28"/>
      <c r="H353" s="28"/>
    </row>
    <row r="354" ht="15.75" customHeight="1">
      <c r="D354" s="28"/>
      <c r="H354" s="28"/>
    </row>
    <row r="355" ht="15.75" customHeight="1">
      <c r="D355" s="28"/>
      <c r="H355" s="28"/>
    </row>
    <row r="356" ht="15.75" customHeight="1">
      <c r="D356" s="28"/>
      <c r="H356" s="28"/>
    </row>
    <row r="357" ht="15.75" customHeight="1">
      <c r="D357" s="28"/>
      <c r="H357" s="28"/>
    </row>
    <row r="358" ht="15.75" customHeight="1">
      <c r="D358" s="28"/>
      <c r="H358" s="28"/>
    </row>
    <row r="359" ht="15.75" customHeight="1">
      <c r="D359" s="28"/>
      <c r="H359" s="28"/>
    </row>
    <row r="360" ht="15.75" customHeight="1">
      <c r="D360" s="28"/>
      <c r="H360" s="28"/>
    </row>
    <row r="361" ht="15.75" customHeight="1">
      <c r="D361" s="28"/>
      <c r="H361" s="28"/>
    </row>
    <row r="362" ht="15.75" customHeight="1">
      <c r="D362" s="28"/>
      <c r="H362" s="28"/>
    </row>
    <row r="363" ht="15.75" customHeight="1">
      <c r="D363" s="28"/>
      <c r="H363" s="28"/>
    </row>
    <row r="364" ht="15.75" customHeight="1">
      <c r="D364" s="28"/>
      <c r="H364" s="28"/>
    </row>
    <row r="365" ht="15.75" customHeight="1">
      <c r="D365" s="28"/>
      <c r="H365" s="28"/>
    </row>
    <row r="366" ht="15.75" customHeight="1">
      <c r="D366" s="28"/>
      <c r="H366" s="28"/>
    </row>
    <row r="367" ht="15.75" customHeight="1">
      <c r="D367" s="28"/>
      <c r="H367" s="28"/>
    </row>
    <row r="368" ht="15.75" customHeight="1">
      <c r="D368" s="28"/>
      <c r="H368" s="28"/>
    </row>
    <row r="369" ht="15.75" customHeight="1">
      <c r="D369" s="28"/>
      <c r="H369" s="28"/>
    </row>
    <row r="370" ht="15.75" customHeight="1">
      <c r="D370" s="28"/>
      <c r="H370" s="28"/>
    </row>
    <row r="371" ht="15.75" customHeight="1">
      <c r="D371" s="28"/>
      <c r="H371" s="28"/>
    </row>
    <row r="372" ht="15.75" customHeight="1">
      <c r="D372" s="28"/>
      <c r="H372" s="28"/>
    </row>
    <row r="373" ht="15.75" customHeight="1">
      <c r="D373" s="28"/>
      <c r="H373" s="28"/>
    </row>
    <row r="374" ht="15.75" customHeight="1">
      <c r="D374" s="28"/>
      <c r="H374" s="28"/>
    </row>
    <row r="375" ht="15.75" customHeight="1">
      <c r="D375" s="28"/>
      <c r="H375" s="28"/>
    </row>
    <row r="376" ht="15.75" customHeight="1">
      <c r="D376" s="28"/>
      <c r="H376" s="28"/>
    </row>
    <row r="377" ht="15.75" customHeight="1">
      <c r="D377" s="28"/>
      <c r="H377" s="28"/>
    </row>
    <row r="378" ht="15.75" customHeight="1">
      <c r="D378" s="28"/>
      <c r="H378" s="28"/>
    </row>
    <row r="379" ht="15.75" customHeight="1">
      <c r="D379" s="28"/>
      <c r="H379" s="28"/>
    </row>
    <row r="380" ht="15.75" customHeight="1">
      <c r="D380" s="28"/>
      <c r="H380" s="28"/>
    </row>
    <row r="381" ht="15.75" customHeight="1">
      <c r="D381" s="28"/>
      <c r="H381" s="28"/>
    </row>
    <row r="382" ht="15.75" customHeight="1">
      <c r="D382" s="28"/>
      <c r="H382" s="28"/>
    </row>
    <row r="383" ht="15.75" customHeight="1">
      <c r="D383" s="28"/>
      <c r="H383" s="28"/>
    </row>
    <row r="384" ht="15.75" customHeight="1">
      <c r="D384" s="28"/>
      <c r="H384" s="28"/>
    </row>
    <row r="385" ht="15.75" customHeight="1">
      <c r="D385" s="28"/>
      <c r="H385" s="28"/>
    </row>
    <row r="386" ht="15.75" customHeight="1">
      <c r="D386" s="28"/>
      <c r="H386" s="28"/>
    </row>
    <row r="387" ht="15.75" customHeight="1">
      <c r="D387" s="28"/>
      <c r="H387" s="28"/>
    </row>
    <row r="388" ht="15.75" customHeight="1">
      <c r="D388" s="28"/>
      <c r="H388" s="28"/>
    </row>
    <row r="389" ht="15.75" customHeight="1">
      <c r="D389" s="28"/>
      <c r="H389" s="28"/>
    </row>
    <row r="390" ht="15.75" customHeight="1">
      <c r="D390" s="28"/>
      <c r="H390" s="28"/>
    </row>
    <row r="391" ht="15.75" customHeight="1">
      <c r="D391" s="28"/>
      <c r="H391" s="28"/>
    </row>
    <row r="392" ht="15.75" customHeight="1">
      <c r="D392" s="28"/>
      <c r="H392" s="28"/>
    </row>
    <row r="393" ht="15.75" customHeight="1">
      <c r="D393" s="28"/>
      <c r="H393" s="28"/>
    </row>
    <row r="394" ht="15.75" customHeight="1">
      <c r="D394" s="28"/>
      <c r="H394" s="28"/>
    </row>
    <row r="395" ht="15.75" customHeight="1">
      <c r="D395" s="28"/>
      <c r="H395" s="28"/>
    </row>
    <row r="396" ht="15.75" customHeight="1">
      <c r="D396" s="28"/>
      <c r="H396" s="28"/>
    </row>
    <row r="397" ht="15.75" customHeight="1">
      <c r="D397" s="28"/>
      <c r="H397" s="28"/>
    </row>
    <row r="398" ht="15.75" customHeight="1">
      <c r="D398" s="28"/>
      <c r="H398" s="28"/>
    </row>
    <row r="399" ht="15.75" customHeight="1">
      <c r="D399" s="28"/>
      <c r="H399" s="28"/>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ataValidations>
    <dataValidation type="list" allowBlank="1" sqref="D2:D399">
      <formula1>"Bloqueante,Crítico,Mayor,Menor"</formula1>
    </dataValidation>
    <dataValidation type="list" allowBlank="1" sqref="H3:H399">
      <formula1>"Abierto,En corrección,Corregido,Verificado,Descartado"</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2026-08-22T03:44:36Z</dcterms:created>
  <dc:creator>openpyxl</dc:creator>
</cp:coreProperties>
</file>

<file path=docProps/custom.xml><?xml version="1.0" encoding="utf-8"?>
<Properties xmlns="http://schemas.openxmlformats.org/officeDocument/2006/custom-properties" xmlns:vt="http://schemas.openxmlformats.org/officeDocument/2006/docPropsVTypes"/>
</file>