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ciones" sheetId="1" r:id="rId4"/>
    <sheet state="visible" name="Resumen" sheetId="2" r:id="rId5"/>
    <sheet state="visible" name="Datos de prueba" sheetId="3" r:id="rId6"/>
    <sheet state="visible" name="Pruebas funcionales" sheetId="4" r:id="rId7"/>
    <sheet state="visible" name="Pruebas no funcionales" sheetId="5" r:id="rId8"/>
    <sheet state="visible" name="Hallazgos" sheetId="6" r:id="rId9"/>
  </sheets>
  <definedNames>
    <definedName hidden="1" localSheetId="3" name="_xlnm._FilterDatabase">'Pruebas funcionales'!$A$1:$M$257</definedName>
    <definedName hidden="1" localSheetId="4" name="_xlnm._FilterDatabase">'Pruebas no funcionales'!$A$1:$M$64</definedName>
  </definedNames>
  <calcPr/>
  <extLst>
    <ext uri="GoogleSheetsCustomDataVersion2">
      <go:sheetsCustomData xmlns:go="http://customooxmlschemas.google.com/" r:id="rId10" roundtripDataChecksum="cE90WtLa1ML0DfcWS4mIDzKZZpOg84BX5XJlaZwMQ9I="/>
    </ext>
  </extLst>
</workbook>
</file>

<file path=xl/sharedStrings.xml><?xml version="1.0" encoding="utf-8"?>
<sst xmlns="http://schemas.openxmlformats.org/spreadsheetml/2006/main" count="3944" uniqueCount="1789">
  <si>
    <t>KineFit — Plan de pruebas del entorno de pruebas</t>
  </si>
  <si>
    <t>Este plan es el criterio de salida a producción. Si se completa según lo definido aquí, el sistema está listo para producción; si no se completa, no sale.</t>
  </si>
  <si>
    <t>Set de datos determinista del entorno de pruebas</t>
  </si>
  <si>
    <t>Resumen de ejecución</t>
  </si>
  <si>
    <t>Cómo se usa</t>
  </si>
  <si>
    <t>Entidad</t>
  </si>
  <si>
    <t>Indicador</t>
  </si>
  <si>
    <t>ID</t>
  </si>
  <si>
    <t>1. Sembrar la base del entorno de pruebas con seed_pruebas.sql antes de cada ronda.</t>
  </si>
  <si>
    <t>2. Ejecutar los casos en el orden de las hojas. Cada ejecutor completa sólo las filas donde figura como responsable.</t>
  </si>
  <si>
    <t>3. Registrar el resultado en la columna Resultado y adjuntar evidencia: captura, registro o enlace.</t>
  </si>
  <si>
    <t>4. Todo caso Fallido genera una fila en la hoja Hallazgos con su severidad.</t>
  </si>
  <si>
    <t>5. Corregido el hallazgo, el caso se vuelve a ejecutar. No se marca Aprobado sin repetir la prueba.</t>
  </si>
  <si>
    <t>Registro</t>
  </si>
  <si>
    <t>Detalle</t>
  </si>
  <si>
    <t>Responsables</t>
  </si>
  <si>
    <t>Maxi — pruebas funcionales del panel, ventas, fichas y documentos.</t>
  </si>
  <si>
    <t>Jhoan — pruebas funcionales del sitio público y de la configuración de contenido.</t>
  </si>
  <si>
    <t>Servicios</t>
  </si>
  <si>
    <t>Claude — pruebas técnicas: concurrencia, carga, autorización, seguridad y auditoría del sitio.</t>
  </si>
  <si>
    <t>Criterio de severidad</t>
  </si>
  <si>
    <t>Historia</t>
  </si>
  <si>
    <t>Bloqueante — impide operar, pierde dinero o pierde datos. Doble reserva, cobro mal calculado, ficha que no guarda, secreto expuesto, caída del servicio. Tolerancia cero.</t>
  </si>
  <si>
    <t>Módulo</t>
  </si>
  <si>
    <t>Crítico — funcionalidad central rota, aunque exista una vía alternativa. Tolerancia cero.</t>
  </si>
  <si>
    <t>Caso de prueba</t>
  </si>
  <si>
    <t>Mayor — funciona pero de forma incorrecta o incómoda. Se acepta pasar con un máximo acordado y fecha de corrección comprometida.</t>
  </si>
  <si>
    <t>Masajes</t>
  </si>
  <si>
    <t>Precondición</t>
  </si>
  <si>
    <t>Activo. Duración 60 minutos.</t>
  </si>
  <si>
    <t>Menor — cosmético o de conveniencia. No bloquea la salida.</t>
  </si>
  <si>
    <t>Pasos</t>
  </si>
  <si>
    <t>Criterio de cierre</t>
  </si>
  <si>
    <t>Datos de entrada</t>
  </si>
  <si>
    <t>El plan se declara aprobado cuando no queda ningún caso pendiente, ningún hallazgo bloqueante abierto y ningún hallazgo crítico abierto. La hoja Resumen lo calcula sola.</t>
  </si>
  <si>
    <t>Resultado esperado</t>
  </si>
  <si>
    <t>Alcance</t>
  </si>
  <si>
    <t>Funcionales</t>
  </si>
  <si>
    <t>Severidad si falla</t>
  </si>
  <si>
    <t>Todos los casos derivan de las historias de usuario v-final. Cada fila indica en la columna Historia de cuál proviene.</t>
  </si>
  <si>
    <t>Responsable</t>
  </si>
  <si>
    <t>Masajes Premium</t>
  </si>
  <si>
    <t>Las reservas del sitio permanecen desactivadas en producción durante la marcha blanca, pero el flujo de reserva se prueba completo en el entorno de pruebas.</t>
  </si>
  <si>
    <t>No funcionales</t>
  </si>
  <si>
    <t>Activo. Duración 90 minutos.</t>
  </si>
  <si>
    <t>Resultado</t>
  </si>
  <si>
    <t>Total</t>
  </si>
  <si>
    <t>Masajes en pareja</t>
  </si>
  <si>
    <t>Evidencia</t>
  </si>
  <si>
    <t>Observaciones</t>
  </si>
  <si>
    <t>Masajes Reductivos</t>
  </si>
  <si>
    <t>Casos totales</t>
  </si>
  <si>
    <t>Activo. Duración 30 minutos.</t>
  </si>
  <si>
    <t>Embarazadas</t>
  </si>
  <si>
    <t>Kinesiología</t>
  </si>
  <si>
    <t>Inactivo al sembrar, para probar su activación.</t>
  </si>
  <si>
    <t>PF-001</t>
  </si>
  <si>
    <t>Voucher para Regalo</t>
  </si>
  <si>
    <t>Activo, sin duración.</t>
  </si>
  <si>
    <t>AUT-001</t>
  </si>
  <si>
    <t>Especialistas</t>
  </si>
  <si>
    <t>Especialista A</t>
  </si>
  <si>
    <t>Autenticación paciente</t>
  </si>
  <si>
    <t>Jornada completa. Habilitada en todos los servicios.</t>
  </si>
  <si>
    <t>Navegar el flujo completo sin sesión iniciada</t>
  </si>
  <si>
    <t>Formulario de reserva habilitado</t>
  </si>
  <si>
    <t>Especialista B</t>
  </si>
  <si>
    <t>Abrir el sitio sin sesión. Seleccionar servicio, fecha, hora y especialista.</t>
  </si>
  <si>
    <t>09:00 a 17:00. Habilitada sólo en masoterapia.</t>
  </si>
  <si>
    <t>Servicio: Masajes</t>
  </si>
  <si>
    <t>El flujo avanza hasta el último paso sin pedir sesión en ningún momento</t>
  </si>
  <si>
    <t>Mayor</t>
  </si>
  <si>
    <t>Especialista C</t>
  </si>
  <si>
    <t>Maxi</t>
  </si>
  <si>
    <t>18:00 a 21:00. Habilitada en masoterapia y kinesiología.</t>
  </si>
  <si>
    <t>Cuentas</t>
  </si>
  <si>
    <t>Administrador</t>
  </si>
  <si>
    <t>Cuenta de administrador del entorno de pruebas.</t>
  </si>
  <si>
    <t>Especialista A y B</t>
  </si>
  <si>
    <t>Cuentas de especialista, para probar accesos cruzados.</t>
  </si>
  <si>
    <t>Pacientes</t>
  </si>
  <si>
    <t>Paciente web</t>
  </si>
  <si>
    <t>Registrado con Google, con RUT y teléfono completos.</t>
  </si>
  <si>
    <t>Paciente manual</t>
  </si>
  <si>
    <t>Registrado por el personal, sin cuenta de Google, mismo RUT que el anterior para probar la vinculación.</t>
  </si>
  <si>
    <t>Paciente con convenio</t>
  </si>
  <si>
    <t>Afiliado a un convenio vigente.</t>
  </si>
  <si>
    <t>Aprobado</t>
  </si>
  <si>
    <t>Paciente con convenio vencido</t>
  </si>
  <si>
    <t>Afiliado a un convenio fuera de vigencia.</t>
  </si>
  <si>
    <t>Convenios</t>
  </si>
  <si>
    <t>Convenio vigente</t>
  </si>
  <si>
    <t>Descuento en masoterapia, sin descuento en kinesiología.</t>
  </si>
  <si>
    <t>Convenio vencido</t>
  </si>
  <si>
    <t>Vigencia terminada el día anterior.</t>
  </si>
  <si>
    <t>Terminales</t>
  </si>
  <si>
    <t>Terminal porcentual</t>
  </si>
  <si>
    <t>Comisión porcentual distinta para débito y crédito.</t>
  </si>
  <si>
    <t>Todo funciona de manera correcta, el problema que queda pendiente es que permite el ingreso de una hora que ya no esta disponible, la idea es implementar un aviso de que esa hora ya no esta disponible o quitar los bloques directamente. Ademas pendiente mejorar estilo visual (cambiar estilo de ia)</t>
  </si>
  <si>
    <t>Terminal mixto</t>
  </si>
  <si>
    <t>Porcentaje más cargo fijo, con impuesto sobre la comisión.</t>
  </si>
  <si>
    <t>Reparto</t>
  </si>
  <si>
    <t>Acuerdo vigente</t>
  </si>
  <si>
    <t>50% para la profesional desde una fecha anterior.</t>
  </si>
  <si>
    <t>Acuerdo anterior</t>
  </si>
  <si>
    <t>PF-002</t>
  </si>
  <si>
    <t>40% con vigencia terminada, para probar el histórico.</t>
  </si>
  <si>
    <t>Impuesto</t>
  </si>
  <si>
    <t>Tasa vigente</t>
  </si>
  <si>
    <t>19% desde una fecha anterior a todas las ventas sembradas.</t>
  </si>
  <si>
    <t>Formatos</t>
  </si>
  <si>
    <t>Formato por constructor</t>
  </si>
  <si>
    <t>Solicitud de sesión al confirmar la reserva</t>
  </si>
  <si>
    <t>Dos secciones y cinco campos, uno de cada tipo.</t>
  </si>
  <si>
    <t>Flujo completado hasta selección de especialista</t>
  </si>
  <si>
    <t>Formato desde documento</t>
  </si>
  <si>
    <t>Presionar confirmar reserva</t>
  </si>
  <si>
    <t>Documento cargado con firma de paciente y de profesional.</t>
  </si>
  <si>
    <t>Citas</t>
  </si>
  <si>
    <t>-</t>
  </si>
  <si>
    <t>Cita confirmada con pago</t>
  </si>
  <si>
    <t>Para probar cancelación con advertencia de anticipo.</t>
  </si>
  <si>
    <t>El sistema muestra el aviso de inicio de sesión con Google antes de pasar al pago</t>
  </si>
  <si>
    <t>Cita atendida sin ficha</t>
  </si>
  <si>
    <t>Para probar la creación de ficha.</t>
  </si>
  <si>
    <t>Crítico</t>
  </si>
  <si>
    <t>Cita con documento pendiente</t>
  </si>
  <si>
    <t>Para probar la carga en papel y el conteo de pendientes.</t>
  </si>
  <si>
    <t>Cita con documento firmado</t>
  </si>
  <si>
    <t>Para probar la firma del profesional.</t>
  </si>
  <si>
    <t>Bloqueos</t>
  </si>
  <si>
    <t>Bloqueo con motivo público</t>
  </si>
  <si>
    <t>Para verificar la exposición en el sitio.</t>
  </si>
  <si>
    <t>Bloqueo sin motivo público</t>
  </si>
  <si>
    <t>Para verificar que el motivo interno no se expone.</t>
  </si>
  <si>
    <t>Failed to load resource: net::ERR_BLOCKED_BY_CLIENT
5client:87 [GSI_LOGGER]: google.accounts.id.initialize() is called multiple times. This could cause unexpected behavior and only the last initialized instance will be used.
_.G @ client:87
play.google.com/log?hasfast=true&amp;authuser=0&amp;format=json:1  Failed to load resource: net::ERR_BLOCKED_BY_CLIENT
client:391 Cross-Origin-Opener-Policy policy would block the window.postMessage call.
fv @ client:391
client:391 Cross-Origin-Opener-Policy policy would block the window.postMessage call.
fv @ client:391
api-test.kinefitchile.com/api/auth/google:1  Failed to load resource: the server responded with a status of 401 (Unauthorized)
play.google.com/log?format=json&amp;hasfast=true&amp;authuser=0:1  Failed to load resource: net::ERR_BLOCKED_BY_CLIENT. Request failed with status code 401</t>
  </si>
  <si>
    <t>PF-003</t>
  </si>
  <si>
    <t>Alta de paciente nuevo desde Google</t>
  </si>
  <si>
    <t>Cuenta de Google sin paciente asociado</t>
  </si>
  <si>
    <t>Iniciar sesión con una cuenta de Google no registrada</t>
  </si>
  <si>
    <t>Correo de prueba nuevo</t>
  </si>
  <si>
    <t>Se crea el registro de paciente vinculado a la identidad de Google</t>
  </si>
  <si>
    <t>Pendientes</t>
  </si>
  <si>
    <t>PF-004</t>
  </si>
  <si>
    <t>Solicitud de RUT y teléfono en el primer ingreso</t>
  </si>
  <si>
    <t>Paciente nuevo autenticado</t>
  </si>
  <si>
    <t>Observar el formulario posterior al inicio de sesión</t>
  </si>
  <si>
    <t>El sistema solicita RUT y teléfono antes de continuar al pago</t>
  </si>
  <si>
    <t>PF-005</t>
  </si>
  <si>
    <t>Precarga de datos en reserva posterior</t>
  </si>
  <si>
    <t>Paciente ya registrado con RUT y teléfono</t>
  </si>
  <si>
    <t>Iniciar una segunda reserva con la misma cuenta</t>
  </si>
  <si>
    <t>RUT y teléfono aparecen precargados y no se vuelven a solicitar</t>
  </si>
  <si>
    <t>PF-006</t>
  </si>
  <si>
    <t>Aprobados</t>
  </si>
  <si>
    <t>Rechazo de RUT inválido</t>
  </si>
  <si>
    <t>En el paso de datos personales</t>
  </si>
  <si>
    <t>Ingresar un RUT con dígito verificador incorrecto</t>
  </si>
  <si>
    <t>12.345.678-9</t>
  </si>
  <si>
    <t>El sistema rechaza el RUT y no permite continuar</t>
  </si>
  <si>
    <t>PF-007</t>
  </si>
  <si>
    <t>Token de Google inválido</t>
  </si>
  <si>
    <t>Enviar al backend un ID token manipulado</t>
  </si>
  <si>
    <t>Token alterado</t>
  </si>
  <si>
    <t>El backend rechaza la operación, no crea paciente y no ocupa bloques</t>
  </si>
  <si>
    <t>Bloqueante</t>
  </si>
  <si>
    <t>Fallidos</t>
  </si>
  <si>
    <t>Claude</t>
  </si>
  <si>
    <t>Pendiente</t>
  </si>
  <si>
    <t>PF-008</t>
  </si>
  <si>
    <t>Sesión expirada al reservar</t>
  </si>
  <si>
    <t>Sesión de paciente vencida</t>
  </si>
  <si>
    <t>Intentar confirmar una reserva con la sesión vencida</t>
  </si>
  <si>
    <t>La operación se rechaza con mensaje claro y los bloques quedan disponibles</t>
  </si>
  <si>
    <t>Bloqueados</t>
  </si>
  <si>
    <t>PF-009</t>
  </si>
  <si>
    <t>Aviso de tratamiento de datos</t>
  </si>
  <si>
    <t>Paciente nuevo</t>
  </si>
  <si>
    <t>Completar el alta de cuenta</t>
  </si>
  <si>
    <t>Se muestra el aviso de tratamiento de datos y se registra el consentimiento</t>
  </si>
  <si>
    <t>PNF-001</t>
  </si>
  <si>
    <t>NFR-001</t>
  </si>
  <si>
    <t>PF-010</t>
  </si>
  <si>
    <t>Rendimiento</t>
  </si>
  <si>
    <t>Tiempo de respuesta del sitio público</t>
  </si>
  <si>
    <t>AGE-001</t>
  </si>
  <si>
    <t>Entorno de pruebas desplegado</t>
  </si>
  <si>
    <t>Medir la carga de la portada y del selector de disponibilidad</t>
  </si>
  <si>
    <t>Reserva web</t>
  </si>
  <si>
    <t>No aplica</t>
  </si>
  <si>
    <t>Orden del flujo</t>
  </si>
  <si>
    <t>La página responde dentro del umbral acordado en carga normal</t>
  </si>
  <si>
    <t>Formulario habilitado</t>
  </si>
  <si>
    <t>Recorrer el flujo de reserva</t>
  </si>
  <si>
    <t>El orden es servicio, fecha, hora y finalmente especialista</t>
  </si>
  <si>
    <t>PNF-002</t>
  </si>
  <si>
    <t>PF-011</t>
  </si>
  <si>
    <t>Tiempo de respuesta del panel</t>
  </si>
  <si>
    <t>Fallidos bloqueantes</t>
  </si>
  <si>
    <t>Sesión de administrador</t>
  </si>
  <si>
    <t>Catálogo publicado</t>
  </si>
  <si>
    <t>Medir la carga de agenda, ventas y pacientes</t>
  </si>
  <si>
    <t>Las vistas responden sin degradar la operación diaria</t>
  </si>
  <si>
    <t>Servicios activos en el panel</t>
  </si>
  <si>
    <t>Abrir el selector de servicios</t>
  </si>
  <si>
    <t>Se listan todas las categorías al mismo nivel, sin subcategorías</t>
  </si>
  <si>
    <t>PNF-003</t>
  </si>
  <si>
    <t>Consulta de disponibilidad concurrente</t>
  </si>
  <si>
    <t>Agenda con datos</t>
  </si>
  <si>
    <t>Lanzar peticiones concurrentes sostenidas al endpoint de disponibilidad</t>
  </si>
  <si>
    <t>50 usuarios simultáneos</t>
  </si>
  <si>
    <t>No hay errores ni degradación perceptible</t>
  </si>
  <si>
    <t>PF-012</t>
  </si>
  <si>
    <t>PNF-004</t>
  </si>
  <si>
    <t>Fiabilidad</t>
  </si>
  <si>
    <t>Servicio inactivo no se ofrece</t>
  </si>
  <si>
    <t>Doble reserva simultánea</t>
  </si>
  <si>
    <t>Un bloque disponible</t>
  </si>
  <si>
    <t>Un servicio desactivado en el panel</t>
  </si>
  <si>
    <t>Enviar dos confirmaciones simultáneas sobre el mismo bloque</t>
  </si>
  <si>
    <t>2 peticiones en paralelo</t>
  </si>
  <si>
    <t>Sólo una prospera; la otra recibe rechazo claro y no hay doble ocupación</t>
  </si>
  <si>
    <t>Kinesiología inactiva</t>
  </si>
  <si>
    <t>El servicio inactivo no aparece en el selector</t>
  </si>
  <si>
    <t>PNF-005</t>
  </si>
  <si>
    <t>Doble reserva en ráfaga</t>
  </si>
  <si>
    <t>Enviar veinte confirmaciones simultáneas sobre el mismo bloque</t>
  </si>
  <si>
    <t>20 peticiones</t>
  </si>
  <si>
    <t>Exactamente una cita queda registrada</t>
  </si>
  <si>
    <t>PF-013</t>
  </si>
  <si>
    <t>PNF-006</t>
  </si>
  <si>
    <t>Concurrencia sobre la misma cita</t>
  </si>
  <si>
    <t>Cita confirmada</t>
  </si>
  <si>
    <t>Activación de servicio se refleja en el sitio</t>
  </si>
  <si>
    <t>Dos usuarios del panel cambian su estado a la vez</t>
  </si>
  <si>
    <t>Servicio inactivo</t>
  </si>
  <si>
    <t>Fallidos críticos</t>
  </si>
  <si>
    <t>El resultado es consistente y queda una sola traza coherente</t>
  </si>
  <si>
    <t>Activarlo en el panel y recargar el sitio</t>
  </si>
  <si>
    <t>El servicio aparece disponible para agendamiento sin redesplegar</t>
  </si>
  <si>
    <t>PNF-007</t>
  </si>
  <si>
    <t>Caída de la pasarela</t>
  </si>
  <si>
    <t>Pasarela inaccesible</t>
  </si>
  <si>
    <t>Intentar pagar</t>
  </si>
  <si>
    <t>Se informa el problema, no quedan citas inconsistentes y los bloques se liberan</t>
  </si>
  <si>
    <t>PF-014</t>
  </si>
  <si>
    <t>PNF-008</t>
  </si>
  <si>
    <t>Caída del almacenamiento de imágenes</t>
  </si>
  <si>
    <t>Servicio inaccesible</t>
  </si>
  <si>
    <t>Bloques de 30 minutos desde las 09:00</t>
  </si>
  <si>
    <t>Abrir el sitio</t>
  </si>
  <si>
    <t>Horarios cargados</t>
  </si>
  <si>
    <t>El sitio sigue operativo y no muestra errores visibles</t>
  </si>
  <si>
    <t>Abrir el selector de horario</t>
  </si>
  <si>
    <t>Caso de origen</t>
  </si>
  <si>
    <t>Los bloques se presentan como rango y comienzan a las 09:00</t>
  </si>
  <si>
    <t>Descripción del hallazgo</t>
  </si>
  <si>
    <t>PNF-009</t>
  </si>
  <si>
    <t>Severidad</t>
  </si>
  <si>
    <t>Fallo del servicio de correo</t>
  </si>
  <si>
    <t>Detectado por</t>
  </si>
  <si>
    <t>Confirmar una cita</t>
  </si>
  <si>
    <t>La cita se confirma y el envío queda registrado como fallido para reintento</t>
  </si>
  <si>
    <t>Fecha detección</t>
  </si>
  <si>
    <t>PF-015</t>
  </si>
  <si>
    <t>Responsable de corrección</t>
  </si>
  <si>
    <t>PNF-010</t>
  </si>
  <si>
    <t>Fallidos mayores</t>
  </si>
  <si>
    <t>Franja 14:00 a 15:00 inexistente</t>
  </si>
  <si>
    <t>Estado</t>
  </si>
  <si>
    <t>Fecha cierre</t>
  </si>
  <si>
    <t>Errores sin fuga de información</t>
  </si>
  <si>
    <t>Revisar la rejilla de cualquier día</t>
  </si>
  <si>
    <t>Notas</t>
  </si>
  <si>
    <t>Provocar un error del servidor</t>
  </si>
  <si>
    <t>No se genera ningún bloque entre 14:00 y 15:00</t>
  </si>
  <si>
    <t>El mensaje al usuario no expone trazas internas ni datos sensibles</t>
  </si>
  <si>
    <t>H-002</t>
  </si>
  <si>
    <t>PNF-011</t>
  </si>
  <si>
    <t>Consola limpia</t>
  </si>
  <si>
    <t>Esto es algo que se deberia configurar y no dar por sentado que sera para siempre, el sistema debe permitir cambiar bloques de horario bloqueados permanentes como este</t>
  </si>
  <si>
    <t>Sitio y panel desplegados</t>
  </si>
  <si>
    <t>Recorrer las vistas principales revisando la consola</t>
  </si>
  <si>
    <t>No hay errores en la consola del navegador</t>
  </si>
  <si>
    <t>PF-016</t>
  </si>
  <si>
    <t>PNF-012</t>
  </si>
  <si>
    <t>Duración desactivada globalmente</t>
  </si>
  <si>
    <t>Usabilidad</t>
  </si>
  <si>
    <t>Interruptor de duración en falso</t>
  </si>
  <si>
    <t>Sitio en móvil</t>
  </si>
  <si>
    <t>Sitio desplegado</t>
  </si>
  <si>
    <t>Reservar un servicio y elegir un solo bloque</t>
  </si>
  <si>
    <t>Recorrer el sitio en resolución móvil</t>
  </si>
  <si>
    <t>Todo el contenido es legible y operable</t>
  </si>
  <si>
    <t>El sistema permite reservar sin exigir bloques adicionales</t>
  </si>
  <si>
    <t>PNF-013</t>
  </si>
  <si>
    <t>Firma en móvil</t>
  </si>
  <si>
    <t>Avance de ejecución</t>
  </si>
  <si>
    <t>Documento pendiente</t>
  </si>
  <si>
    <t>No deberia existir un interruptor global, el interruptor es por servicio, no para todos, depe permitir a algunos exigir una duracion concreta y no exigirla para otros</t>
  </si>
  <si>
    <t>Abrir el enlace y firmar desde un teléfono</t>
  </si>
  <si>
    <t>El documento se lee y la firma se captura correctamente con el dedo</t>
  </si>
  <si>
    <t>PF-017</t>
  </si>
  <si>
    <t>PNF-014</t>
  </si>
  <si>
    <t>Duración activada, servicio de 60 minutos</t>
  </si>
  <si>
    <t>Panel en tablet</t>
  </si>
  <si>
    <t>Interruptor activo, servicio con 60 min</t>
  </si>
  <si>
    <t>Sesión de especialista</t>
  </si>
  <si>
    <t>Operar agenda y fichas desde una tablet</t>
  </si>
  <si>
    <t>Seleccionar un solo bloque de 30 minutos</t>
  </si>
  <si>
    <t>Masajes 60 min</t>
  </si>
  <si>
    <t>Las vistas son operables sin desplazamiento horizontal</t>
  </si>
  <si>
    <t>El sistema informa la duración y exige seleccionar dos bloques consecutivos</t>
  </si>
  <si>
    <t>Corregido</t>
  </si>
  <si>
    <t>PNF-015</t>
  </si>
  <si>
    <t>SEG-001</t>
  </si>
  <si>
    <t>Autorización</t>
  </si>
  <si>
    <t>Endpoints protegidos sin sesión</t>
  </si>
  <si>
    <t>H-003</t>
  </si>
  <si>
    <t>Solicitar endpoints del panel sin token</t>
  </si>
  <si>
    <t>La autenticacion de google no funciona</t>
  </si>
  <si>
    <t>PF-018</t>
  </si>
  <si>
    <t>Todas las peticiones se rechazan</t>
  </si>
  <si>
    <t>Duración activada, servicio de 90 minutos</t>
  </si>
  <si>
    <t>PNF-016</t>
  </si>
  <si>
    <t>Interruptor activo, servicio con 90 min</t>
  </si>
  <si>
    <t>Seleccionar dos bloques</t>
  </si>
  <si>
    <t>Especialista sobre recursos ajenos — lectura</t>
  </si>
  <si>
    <t>Dos especialistas</t>
  </si>
  <si>
    <t>Masajes Premium 90 min</t>
  </si>
  <si>
    <t>Solicitar (GET) citas, fichas y documentos de la otra</t>
  </si>
  <si>
    <t>El sistema exige el tercer bloque consecutivo</t>
  </si>
  <si>
    <t>Verificado</t>
  </si>
  <si>
    <t>Las citas se rechazan con 403; las fichas y documentos de la otra especialista se muestran (200) — es la regla nueva de visibilidad (2.1), no una fuga</t>
  </si>
  <si>
    <t>Estado del plan</t>
  </si>
  <si>
    <t>PNF-017</t>
  </si>
  <si>
    <t>H-004</t>
  </si>
  <si>
    <t>PF-019</t>
  </si>
  <si>
    <t>Reserva en pagina web</t>
  </si>
  <si>
    <t>Paciente sobre el panel</t>
  </si>
  <si>
    <t>El formulario muestra datos no configurados o hardcodeados, como: 1. Todos los servicios dicen "Servicio Operativo" (si se va a mostrar una descripcion, que sea la que es configurada desde la configuracion de servicio) 2. Avisos e iconos con IA 3. Quitar placeholders innecesarios</t>
  </si>
  <si>
    <t>Sesión de paciente</t>
  </si>
  <si>
    <t>Bloques no consecutivos</t>
  </si>
  <si>
    <t>Solicitar endpoints administrativos</t>
  </si>
  <si>
    <t>Menor</t>
  </si>
  <si>
    <t>Interruptor activo, servicio de 60 min</t>
  </si>
  <si>
    <t>Seleccionar dos bloques separados por un tercero ocupado</t>
  </si>
  <si>
    <t>Todas las peticiones se rechazan con 403</t>
  </si>
  <si>
    <t>El sistema rechaza la selección por no ser consecutiva</t>
  </si>
  <si>
    <t>H-005</t>
  </si>
  <si>
    <t>PNF-018</t>
  </si>
  <si>
    <t>Cada vez que una sesion expira, y se intenta volver a acceder sale este error: Panel Administrativo
Ha ocurrido un error inesperado. Inténtalo nuevamente.</t>
  </si>
  <si>
    <t>Enumeración de identificadores</t>
  </si>
  <si>
    <t>PF-020</t>
  </si>
  <si>
    <t>Sesión de un especialista distinto del dueño de los recursos</t>
  </si>
  <si>
    <t>Recorrer identificadores secuenciales de citas y fichas</t>
  </si>
  <si>
    <t>Especialistas filtradas por disponibilidad</t>
  </si>
  <si>
    <t>Dos especialistas con horarios distintos</t>
  </si>
  <si>
    <t>Elegir un bloque cubierto por una sola de ellas</t>
  </si>
  <si>
    <t>No se accede a citas, fichas ni documentos de otro paciente; el acceso de un especialista a fichas/documentos de otro especialista es esperado por diseño (2.1) y no cuenta como hallazgo</t>
  </si>
  <si>
    <t>Bloque 18:30</t>
  </si>
  <si>
    <t>Sólo se ofrece la especialista que atiende ese bloque</t>
  </si>
  <si>
    <t>PNF-019</t>
  </si>
  <si>
    <t>Protección</t>
  </si>
  <si>
    <t>Regla de cierre: cero pendientes, cero fallidos bloqueantes y cero fallidos críticos.</t>
  </si>
  <si>
    <t>PF-021</t>
  </si>
  <si>
    <t>Límite de tasa en autenticación</t>
  </si>
  <si>
    <t>Abierto</t>
  </si>
  <si>
    <t>Lanzar intentos repetidos de inicio de sesión</t>
  </si>
  <si>
    <t>100 intentos</t>
  </si>
  <si>
    <t>H-006</t>
  </si>
  <si>
    <t>Especialista sin el servicio habilitado</t>
  </si>
  <si>
    <t>El sistema limita la tasa de solicitudes</t>
  </si>
  <si>
    <t>Especialista sin habilitación para el servicio</t>
  </si>
  <si>
    <t>Seleccionar ese servicio y un bloque de su horario</t>
  </si>
  <si>
    <t>La especialista no se ofrece para ese servicio</t>
  </si>
  <si>
    <t>PNF-020</t>
  </si>
  <si>
    <t>Límite de tasa en endpoints públicos</t>
  </si>
  <si>
    <t>Lanzar peticiones repetidas a disponibilidad y reserva</t>
  </si>
  <si>
    <t>Al hacer cambios en los bloques de horario de un especialista, el sistema se rompe y ya no permite reservar en ningun horario. Diagnostico de claude: Encontré la causa. No es un problema de plantillas/horarios — es un bug de CORS específico del endpoint de agenda en el backend de test.
Lo que pasa: cada vez que la app pide bloques (/api/agenda?especialistaIds=...&amp;desde=...&amp;hasta=... en api-test.kinefitchile.com), el navegador bloquea la respuesta porque el header Access-Control-Allow-Credentials viene vacío en vez de true. Como la request va con credentials: include (para mandar la sesión), Chrome la descarta antes de que el frontend vea el dato. El componente no tiene un estado de error para este caso, así que simplemente no renderiza nada — ni bloques, ni "Horario Disponible", ni un mensaje de error. Por eso se ve "vacío" en vez de mostrar una falla.
Cómo lo confirmé: recargué /panel/agenda sin tocar nada mío y quedó pillado en consola el fetch real de la app fallando así para hoy (15-09), para mañana (16-09, al hacer clic en Siguiente) y para una fecha a un mes (05-10, cambiando el date picker) — o sea, no es una fecha puntual, es todo el endpoint. Y no es un problema de CORS general del dominio: en la misma sesión, /api/especialistas y /api/bloqueos-agenda (mismo origen api-test.kinefitchile.com) cargan perfecto — el modal de Bloqueos abrió normal. Entonces el CORS está mal configurado solo en la ruta de agenda, no en el resto de la API.
Por qué "de repente": las plantillas (Horario del Centro, Plantilla por Especialista) que estabas viendo están todas con datos válidos, así que no es que se haya roto la generación de horarios — es que el endpoint que trae los bloques ya generados dejó de responder correctamente al frontend. Puede ser un cambio reciente en el CORS/middleware del backend de test que tocó esa ruta puntual, o algo del deploy que cambió cómo se llama a /api/agenda justo cuando el resto sigue igual.
Esto es 100% backend (config de CORS en api-test.kinefitchile.com para la ruta /api/agenda), no algo que se arregle en el frontend ni tocando plantillas/horarios de nuevo.</t>
  </si>
  <si>
    <t>PF-022</t>
  </si>
  <si>
    <t>PNF-021</t>
  </si>
  <si>
    <t>Campo de convenio opcional</t>
  </si>
  <si>
    <t>Convenios cargados</t>
  </si>
  <si>
    <t>Fuerza bruta sobre el enlace de firma</t>
  </si>
  <si>
    <t>Completar la reserva sin seleccionar convenio</t>
  </si>
  <si>
    <t>Enlace válido conocido</t>
  </si>
  <si>
    <t>Probar tokens aleatorios y variaciones</t>
  </si>
  <si>
    <t>La reserva se confirma sin exigir convenio</t>
  </si>
  <si>
    <t>Los intentos se limitan y ningún token adivinado da acceso</t>
  </si>
  <si>
    <t>H-007</t>
  </si>
  <si>
    <t>PNF-022</t>
  </si>
  <si>
    <t>PF-031</t>
  </si>
  <si>
    <t>hallazgo raro donde se ingreso el bloque de 4 30 y 5 00, pero al volver al formulario para buscar los 2 bloques, aparece el de 4 30 pero no el de 5 00</t>
  </si>
  <si>
    <t>Enlace de firma no enumerable</t>
  </si>
  <si>
    <t>Varios enlaces emitidos</t>
  </si>
  <si>
    <t>Comparar los tokens entre sí</t>
  </si>
  <si>
    <t>PF-023</t>
  </si>
  <si>
    <t>Los tokens no siguen un patrón derivable</t>
  </si>
  <si>
    <t>En corrección</t>
  </si>
  <si>
    <t>Campo obligatorio vacío</t>
  </si>
  <si>
    <t>H-008</t>
  </si>
  <si>
    <t>PNF-023</t>
  </si>
  <si>
    <t>En el paso de datos</t>
  </si>
  <si>
    <t>otro hallazgo respecto a como se registra una reserva web, ya que aparece como Manual y no como Web (que deberia ser el caso)</t>
  </si>
  <si>
    <t>Dejar el teléfono vacío y confirmar</t>
  </si>
  <si>
    <t>Validación de archivos por contenido</t>
  </si>
  <si>
    <t>El sistema impide confirmar y señala el campo</t>
  </si>
  <si>
    <t>Subir un ejecutable renombrado y un archivo sobre el límite</t>
  </si>
  <si>
    <t>Ambos se rechazan</t>
  </si>
  <si>
    <t>H-009</t>
  </si>
  <si>
    <t>PNF-024</t>
  </si>
  <si>
    <t>en los detalles, hay doble boton de cerrar, borrar uno de esos.Un detalle encontrado, al entrar en un detalle y recargar la pagina, el boton de cerrar en la parte superior no funciona, dejando al personal sin la posibilidad de salir del popup</t>
  </si>
  <si>
    <t>Archivos no ejecutables desde el servidor</t>
  </si>
  <si>
    <t>Archivo cargado</t>
  </si>
  <si>
    <t>PF-024</t>
  </si>
  <si>
    <t>Intentar acceder a la ruta del archivo directamente</t>
  </si>
  <si>
    <t>El acceso se rechaza y el archivo no se ejecuta</t>
  </si>
  <si>
    <t>Ocupación de bloques al confirmar</t>
  </si>
  <si>
    <t>H-010</t>
  </si>
  <si>
    <t>Reserva confirmada</t>
  </si>
  <si>
    <t>La pantalla de pago rechazado mantiene el estilo IA, cambiar al ya actualizado pagina de confirmacion</t>
  </si>
  <si>
    <t>PNF-025</t>
  </si>
  <si>
    <t>Consultar la disponibilidad del mismo bloque desde otro navegador</t>
  </si>
  <si>
    <t>Cabeceras de seguridad</t>
  </si>
  <si>
    <t>Revisar las cabeceras de respuesta</t>
  </si>
  <si>
    <t>Los bloques comprometidos ya no aparecen disponibles</t>
  </si>
  <si>
    <t>Están presentes las cabeceras de seguridad esperadas</t>
  </si>
  <si>
    <t>H-011</t>
  </si>
  <si>
    <t>Al intentar imprimir el comprobante de una venta, se intenta imprimir el popup entero, incluyendo botones, la idea es hacer un html simple sin estilos, que se dedique a mostrar la informacion. Ademas, hay que agregar un boton para descargar el comprobante en pdf (el mismo que se imprime)</t>
  </si>
  <si>
    <t>PNF-026</t>
  </si>
  <si>
    <t>PF-025</t>
  </si>
  <si>
    <t>Secretos</t>
  </si>
  <si>
    <t>Sin secretos en el navegador</t>
  </si>
  <si>
    <t>Error interno libera los bloques</t>
  </si>
  <si>
    <t>Simular fallo del servidor al registrar</t>
  </si>
  <si>
    <t>Inspeccionar el paquete entregado al navegador</t>
  </si>
  <si>
    <t>Provocar el error y revisar la disponibilidad</t>
  </si>
  <si>
    <t>No aparecen claves de servicio, credenciales ni cadenas de conexión</t>
  </si>
  <si>
    <t>Los bloques permanecen disponibles y se informa al paciente</t>
  </si>
  <si>
    <t>H-012</t>
  </si>
  <si>
    <t>PF-057</t>
  </si>
  <si>
    <t>PNF-027</t>
  </si>
  <si>
    <t>La funcionalidad de marcar como cambiar contraseña quedo antigua, pero hay que definir un correo y constraseña para que el nuevo especialista pueda acceder al panel</t>
  </si>
  <si>
    <t>PF-026</t>
  </si>
  <si>
    <t>Contraseña fuera del código</t>
  </si>
  <si>
    <t>Backend desplegado</t>
  </si>
  <si>
    <t>Interruptor de reservas desactivado</t>
  </si>
  <si>
    <t>Revisar el inicializador de datos del sistema</t>
  </si>
  <si>
    <t>Interruptor en falso</t>
  </si>
  <si>
    <t>Abrir el sitio público</t>
  </si>
  <si>
    <t>Ninguna contraseña está fijada en el código fuente</t>
  </si>
  <si>
    <t>El formulario no se muestra y la llamada a la acción dirige al destino configurado</t>
  </si>
  <si>
    <t>H-013</t>
  </si>
  <si>
    <t>Jhoan</t>
  </si>
  <si>
    <t>Al ingresar con la cuenta de un especialista concreto, no permite leer (403 forbidden) ningun otro registro hecho por otro especialista, esto no deberia pasar bajo ningun concepto</t>
  </si>
  <si>
    <t>PNF-028</t>
  </si>
  <si>
    <t>Rotación efectiva</t>
  </si>
  <si>
    <t>Contraseña rotada</t>
  </si>
  <si>
    <t>PF-027</t>
  </si>
  <si>
    <t>Redesplegar la aplicación e intentar la clave anterior</t>
  </si>
  <si>
    <t>La clave anterior no funciona y la rotación no se revierte con el despliegue</t>
  </si>
  <si>
    <t>Interruptor de reservas reactivado</t>
  </si>
  <si>
    <t>Interruptor en verdadero</t>
  </si>
  <si>
    <t>H-014</t>
  </si>
  <si>
    <t>PNF-029</t>
  </si>
  <si>
    <t>Buscador de creacion de una ficha no funciona, sino que hace un llamado a todos los documentos. Deberia de filtrar como corresponde y ademas mostrar antes el llamado a todos los documentos</t>
  </si>
  <si>
    <t>Continuidad</t>
  </si>
  <si>
    <t>El formulario de reserva vuelve a mostrarse y opera con normalidad</t>
  </si>
  <si>
    <t>Respaldo automático</t>
  </si>
  <si>
    <t>Respaldos configurados</t>
  </si>
  <si>
    <t>Verificar la generación del respaldo</t>
  </si>
  <si>
    <t>El respaldo se genera de forma automática y periódica</t>
  </si>
  <si>
    <t>PF-028</t>
  </si>
  <si>
    <t>AGE-002</t>
  </si>
  <si>
    <t>H-015</t>
  </si>
  <si>
    <t>Pago del anticipo</t>
  </si>
  <si>
    <t>PNF-030</t>
  </si>
  <si>
    <t>Monto del anticipo</t>
  </si>
  <si>
    <t>Al intentar abrir un documento de consentimiento en el detalle de un documento, se demora un tiempo considerable</t>
  </si>
  <si>
    <t>Reserva lista para pagar</t>
  </si>
  <si>
    <t>Restauración verificada</t>
  </si>
  <si>
    <t>Avanzar al pago</t>
  </si>
  <si>
    <t>Respaldo disponible</t>
  </si>
  <si>
    <t>Restaurar sobre un entorno limpio</t>
  </si>
  <si>
    <t>El monto es de $10.000 CLP para cualquier servicio</t>
  </si>
  <si>
    <t>La restauración se completa y los datos quedan íntegros</t>
  </si>
  <si>
    <t>H-016</t>
  </si>
  <si>
    <t>PNF-031</t>
  </si>
  <si>
    <t>Base de datos no expuesta</t>
  </si>
  <si>
    <t>Al momento de realizar una reserva, el aviso que indica seleccionar diferentes horarios es poco llamativo, lo cual puede causar confusión en una persona al pensar ¿Porque no me deja continuar?, como solución se puede poner una alerta más evidente de "Este servicio requiere 60 min (2 bloque(s) de 30 min)." como ejemplo.</t>
  </si>
  <si>
    <t>Infraestructura desplegada</t>
  </si>
  <si>
    <t>Intentar conectarse a la base desde internet</t>
  </si>
  <si>
    <t>PF-029</t>
  </si>
  <si>
    <t>La conexión se rechaza</t>
  </si>
  <si>
    <t>Monto validado en servidor</t>
  </si>
  <si>
    <t>PNF-032</t>
  </si>
  <si>
    <t>Alterar el monto en la petición desde el navegador</t>
  </si>
  <si>
    <t>Puertos abiertos</t>
  </si>
  <si>
    <t>Monto 1000</t>
  </si>
  <si>
    <t>H-017</t>
  </si>
  <si>
    <t>El backend rechaza la operación y conserva el monto correcto</t>
  </si>
  <si>
    <t>Explorar los puertos accesibles desde internet</t>
  </si>
  <si>
    <t>Al filtrar la agenda por fecha, seleccionando el día en el calendario, se seleciona un día anterior al requerido</t>
  </si>
  <si>
    <t>Sólo están abiertos los estrictamente necesarios</t>
  </si>
  <si>
    <t>PNF-033</t>
  </si>
  <si>
    <t>Versión identificable</t>
  </si>
  <si>
    <t>Despliegue realizado</t>
  </si>
  <si>
    <t>PF-030</t>
  </si>
  <si>
    <t>Consultar la versión desplegada</t>
  </si>
  <si>
    <t>H-018</t>
  </si>
  <si>
    <t>La versión es identificable de forma unívoca</t>
  </si>
  <si>
    <t>Pago aprobado</t>
  </si>
  <si>
    <t>Al momento de que se quiera registrar una ficha clinica, por intuición se deberia hacer por la sección de documentos de una reserva de agenda</t>
  </si>
  <si>
    <t>Ambiente de integración</t>
  </si>
  <si>
    <t>Pagar con la tarjeta de prueba VISA</t>
  </si>
  <si>
    <t xml:space="preserve">Jhoan </t>
  </si>
  <si>
    <t>4051 8856 0044 6623</t>
  </si>
  <si>
    <t>La cita pasa a Confirmada y los bloques quedan congelados</t>
  </si>
  <si>
    <t>PNF-034</t>
  </si>
  <si>
    <t>H-019</t>
  </si>
  <si>
    <t>Cuando se crea una nueva plantilla de fichas, al poner los datos de una sección no se logra ver los cambios que se hacen en caliente.</t>
  </si>
  <si>
    <t>Retorno a versión anterior</t>
  </si>
  <si>
    <t>Dos versiones publicadas</t>
  </si>
  <si>
    <t>Volver a la anterior</t>
  </si>
  <si>
    <t>El retorno se completa sin reconstruir la aplicación</t>
  </si>
  <si>
    <t>H-020</t>
  </si>
  <si>
    <t>Al crear una reserva, con dos bloques consecutivos, se esta creando como reservas separadas, donde una tiene una ficha, y el otro se comporta de manera ideal. Al marcar como atendido.Actualmente no permite adjuntar una ficha a la reserva atendida, lo cual es un error.</t>
  </si>
  <si>
    <t>PNF-035</t>
  </si>
  <si>
    <t>Bloques reservados durante el pago</t>
  </si>
  <si>
    <t>Auditoría</t>
  </si>
  <si>
    <t>Pago en curso</t>
  </si>
  <si>
    <t>Registro de escrituras</t>
  </si>
  <si>
    <t>Consultar el bloque desde otro navegador mientras la pasarela está abierta</t>
  </si>
  <si>
    <t>H-021</t>
  </si>
  <si>
    <t>Operaciones realizadas</t>
  </si>
  <si>
    <t>El Boton ir a la web cuando un especialista esta en el panel no deberia aparecer</t>
  </si>
  <si>
    <t>Consultar el registro de auditoría</t>
  </si>
  <si>
    <t>El bloque no aparece disponible para otro usuario</t>
  </si>
  <si>
    <t>Cada acción de escritura queda con actor, entidad, acción y fecha</t>
  </si>
  <si>
    <t>H-022</t>
  </si>
  <si>
    <t>Al momento de reservar y que se requiera el inicio de sesión, cuando se inicia con credenciales (incluyendo google), ese inicio de sesión se pasa directamente como registrado, sin validar si tiene tu o telefono.</t>
  </si>
  <si>
    <t>PNF-036</t>
  </si>
  <si>
    <t>LEG-001</t>
  </si>
  <si>
    <t>Protección de datos</t>
  </si>
  <si>
    <t>Consentimiento en el alta</t>
  </si>
  <si>
    <t>PF-032</t>
  </si>
  <si>
    <t>H-023</t>
  </si>
  <si>
    <t>PF-102</t>
  </si>
  <si>
    <t>Cancelación en la pasarela</t>
  </si>
  <si>
    <t>Se informa el tratamiento de datos y se registra el consentimiento</t>
  </si>
  <si>
    <t xml:space="preserve">Una vez que se edita, aun sigue el botón de adjuntar, lo cual da una ilución falsa de que se puede editar y pero no lo hace. </t>
  </si>
  <si>
    <t>Abortar el pago dentro de la pasarela</t>
  </si>
  <si>
    <t>H-024</t>
  </si>
  <si>
    <t>El sitio devuelve al paciente con mensaje y libera los bloques de inmediato</t>
  </si>
  <si>
    <t>PNF-037</t>
  </si>
  <si>
    <t>Al crear una plantilla un especialista no puede crear otro tipo de documento más que consentimiento, el admin si puede hacerlo</t>
  </si>
  <si>
    <t>Tráfico cifrado</t>
  </si>
  <si>
    <t>H-025</t>
  </si>
  <si>
    <t>Verificar el certificado y la redirección</t>
  </si>
  <si>
    <t>Solo se puede iniciar sesión mediante las cuentas google, si se hace manual, no se manda ningun request.</t>
  </si>
  <si>
    <t>Todo el tráfico viaja cifrado y no hay contenido mixto</t>
  </si>
  <si>
    <t>Aprobado pero con el detalle que aunque se cancele el pago la reserva se queda aun en el panel de reservas, no es critico, porque igualmente dentro de 15 minutos como todos los pendientes de pago, se liberara solo</t>
  </si>
  <si>
    <t>PF-033</t>
  </si>
  <si>
    <t>PNF-038</t>
  </si>
  <si>
    <t>H-026</t>
  </si>
  <si>
    <t>Se deberia quitar o editar un POS creado</t>
  </si>
  <si>
    <t>Tarjeta rechazada</t>
  </si>
  <si>
    <t>Sin datos de salud en endpoints públicos</t>
  </si>
  <si>
    <t>Recorrer los endpoints públicos</t>
  </si>
  <si>
    <t>Forzar un rechazo de la tarjeta</t>
  </si>
  <si>
    <t>Ninguno expone datos clínicos ni motivos internos</t>
  </si>
  <si>
    <t>H-027</t>
  </si>
  <si>
    <t>La cita no se confirma y los bloques vuelven a estar disponibles</t>
  </si>
  <si>
    <t>No existe la opción de eliminar plantillas</t>
  </si>
  <si>
    <t>PNF-039</t>
  </si>
  <si>
    <t>Descarga de archivo clínico sin sesión</t>
  </si>
  <si>
    <t>Intentar descargarlo sin autenticación</t>
  </si>
  <si>
    <t>El acceso se rechaza</t>
  </si>
  <si>
    <t>PNF-040</t>
  </si>
  <si>
    <t>Identificador opaco de archivos</t>
  </si>
  <si>
    <t>PF-034</t>
  </si>
  <si>
    <t>Revisar la ruta de almacenamiento</t>
  </si>
  <si>
    <t>La ruta no es predecible ni derivable del nombre original</t>
  </si>
  <si>
    <t>Abandono sin interacción</t>
  </si>
  <si>
    <t>PNF-041</t>
  </si>
  <si>
    <t>Pago iniciado</t>
  </si>
  <si>
    <t>Parámetro de retención</t>
  </si>
  <si>
    <t>Dejar la pasarela abierta hasta cumplir el tiempo límite</t>
  </si>
  <si>
    <t>Configuración del sistema</t>
  </si>
  <si>
    <t>Revisar el parámetro de conservación</t>
  </si>
  <si>
    <t>La cita se marca como expirada y los bloques se liberan automáticamente</t>
  </si>
  <si>
    <t>El plazo está definido y es configurable</t>
  </si>
  <si>
    <t>PNF-042</t>
  </si>
  <si>
    <t>Solicitud de eliminación</t>
  </si>
  <si>
    <t>Paciente registrado</t>
  </si>
  <si>
    <t>Ejecutar el procedimiento de eliminación de datos</t>
  </si>
  <si>
    <t>Los datos se eliminan o anonimizan y queda traza de la solicitud</t>
  </si>
  <si>
    <t>PF-035</t>
  </si>
  <si>
    <t>PNF-043</t>
  </si>
  <si>
    <t>Auditoría de acceso clínico</t>
  </si>
  <si>
    <t>Cierre de ventana tras aprobar</t>
  </si>
  <si>
    <t>Fichas consultadas</t>
  </si>
  <si>
    <t>Consultar la auditoría</t>
  </si>
  <si>
    <t>Cerrar la pestaña antes del retorno al sitio</t>
  </si>
  <si>
    <t>Cada consulta y modificación queda con identidad individual</t>
  </si>
  <si>
    <t>La cita queda igualmente Confirmada en el sistema</t>
  </si>
  <si>
    <t>PNF-044</t>
  </si>
  <si>
    <t>Plantillas no expuestas</t>
  </si>
  <si>
    <t>Plantillas cargadas</t>
  </si>
  <si>
    <t>PF-036</t>
  </si>
  <si>
    <t>Intentar acceder a una plantilla sin sesión</t>
  </si>
  <si>
    <t>Pantalla de confirmación</t>
  </si>
  <si>
    <t>Observar la pantalla de retorno</t>
  </si>
  <si>
    <t>Muestra especialista, servicio, fecha y hora de la cita</t>
  </si>
  <si>
    <t>PNF-045</t>
  </si>
  <si>
    <t>WEB-001</t>
  </si>
  <si>
    <t>Calidad del sitio</t>
  </si>
  <si>
    <t>Títulos únicos</t>
  </si>
  <si>
    <t>Revisar el título de cada página</t>
  </si>
  <si>
    <t>PF-037</t>
  </si>
  <si>
    <t>Cada página tiene un título propio</t>
  </si>
  <si>
    <t>Derivación a documentos</t>
  </si>
  <si>
    <t>Servicio con documento exigido</t>
  </si>
  <si>
    <t>Completar el pago</t>
  </si>
  <si>
    <t>PNF-046</t>
  </si>
  <si>
    <t>Tras el pago el sistema deriva a la firma del documento correspondiente</t>
  </si>
  <si>
    <t>Descripciones</t>
  </si>
  <si>
    <t>Revisar la meta descripción de cada página</t>
  </si>
  <si>
    <t>Cada página tiene descripción propia</t>
  </si>
  <si>
    <t>PF-038</t>
  </si>
  <si>
    <t>PNF-047</t>
  </si>
  <si>
    <t>Simular indisponibilidad</t>
  </si>
  <si>
    <t>Idioma declarado</t>
  </si>
  <si>
    <t>El sistema informa el problema y no deja la cita en estado inconsistente</t>
  </si>
  <si>
    <t>Revisar el atributo de idioma</t>
  </si>
  <si>
    <t>El idioma está declarado</t>
  </si>
  <si>
    <t>PF-039</t>
  </si>
  <si>
    <t>PNF-048</t>
  </si>
  <si>
    <t>Credenciales fuera del navegador</t>
  </si>
  <si>
    <t>Contenido en el HTML entregado</t>
  </si>
  <si>
    <t>Revisar el código fuente sin ejecutar scripts</t>
  </si>
  <si>
    <t>No aparecen credenciales de comercio ni claves de la pasarela</t>
  </si>
  <si>
    <t>El contenido principal está presente en el HTML</t>
  </si>
  <si>
    <t>PF-040</t>
  </si>
  <si>
    <t>PNF-049</t>
  </si>
  <si>
    <t>CON-001</t>
  </si>
  <si>
    <t>Lista desplegable</t>
  </si>
  <si>
    <t>Página 404 propia</t>
  </si>
  <si>
    <t>Abrir el campo de convenio en la reserva</t>
  </si>
  <si>
    <t>Abrir una ruta inexistente</t>
  </si>
  <si>
    <t>Se presenta como lista desplegable y no admite texto libre</t>
  </si>
  <si>
    <t>Se muestra una 404 propia coherente con la identidad visual</t>
  </si>
  <si>
    <t>PF-041</t>
  </si>
  <si>
    <t>PNF-050</t>
  </si>
  <si>
    <t>Rechazo de convenio inexistente</t>
  </si>
  <si>
    <t>Dirección canónica</t>
  </si>
  <si>
    <t>Enviar un identificador de empresa inexistente al backend</t>
  </si>
  <si>
    <t>id 9999</t>
  </si>
  <si>
    <t>Revisar el canónico de cada página</t>
  </si>
  <si>
    <t>El backend rechaza la operación</t>
  </si>
  <si>
    <t>Está declarado y apunta correctamente</t>
  </si>
  <si>
    <t>PF-042</t>
  </si>
  <si>
    <t>Vigencia visible en el listado</t>
  </si>
  <si>
    <t>Convenio con vigencia cargada</t>
  </si>
  <si>
    <t>Abrir el listado de convenios en el panel</t>
  </si>
  <si>
    <t>PNF-051</t>
  </si>
  <si>
    <t>La vigencia aparece como columna sin abrir el detalle</t>
  </si>
  <si>
    <t>Mapa del sitio</t>
  </si>
  <si>
    <t>Aprobado pero solo aparece en la columna como: Vigente, no aparece el rango entre las 2 fechas de vigencia, es un detalle menor</t>
  </si>
  <si>
    <t>PF-043</t>
  </si>
  <si>
    <t>Solicitar el mapa del sitio</t>
  </si>
  <si>
    <t>Descuento por servicio</t>
  </si>
  <si>
    <t>Existe y lista las páginas públicas</t>
  </si>
  <si>
    <t>Convenio con descuento en masoterapia y no en kinesiología</t>
  </si>
  <si>
    <t>Registrar venta de masoterapia a paciente afiliado</t>
  </si>
  <si>
    <t>20% masoterapia</t>
  </si>
  <si>
    <t>El descuento se aplica automáticamente</t>
  </si>
  <si>
    <t>PF-044</t>
  </si>
  <si>
    <t>PNF-052</t>
  </si>
  <si>
    <t>Servicio sin descuento</t>
  </si>
  <si>
    <t>Mismo convenio</t>
  </si>
  <si>
    <t>Registrar venta de kinesiología al mismo paciente</t>
  </si>
  <si>
    <t>Reglas para rastreadores</t>
  </si>
  <si>
    <t>No se aplica descuento</t>
  </si>
  <si>
    <t>Solicitar el archivo de reglas</t>
  </si>
  <si>
    <t>PF-045</t>
  </si>
  <si>
    <t>Existe y no bloquea el contenido público</t>
  </si>
  <si>
    <t>Convenio con vigencia terminada</t>
  </si>
  <si>
    <t>Registrar venta de un paciente afiliado</t>
  </si>
  <si>
    <t>No se aplica descuento y la venta se registra al precio pleno</t>
  </si>
  <si>
    <t>Se guarda sin el descuento como corresponde pero al momento de ingresar el convenio en el registro de ventas: Monto ($ CLP) *
40000
Convenio Convenio no vigente: -10% → Total a cobrar $36.000. Y claro, el convenio no esta vigente</t>
  </si>
  <si>
    <t>PNF-053</t>
  </si>
  <si>
    <t>PF-046</t>
  </si>
  <si>
    <t>Datos estructurados</t>
  </si>
  <si>
    <t>Ventas anteriores no se alteran</t>
  </si>
  <si>
    <t>Validar los datos estructurados de negocio local</t>
  </si>
  <si>
    <t>Ventas registradas con convenio vigente</t>
  </si>
  <si>
    <t>Vencer el convenio y revisar las ventas anteriores</t>
  </si>
  <si>
    <t>Están presentes y son válidos</t>
  </si>
  <si>
    <t>Las ventas previas conservan el descuento aplicado</t>
  </si>
  <si>
    <t>PNF-054</t>
  </si>
  <si>
    <t>PF-047</t>
  </si>
  <si>
    <t>Imagen para compartir</t>
  </si>
  <si>
    <t>Paciente sin convenio</t>
  </si>
  <si>
    <t>Compartir el enlace en mensajería</t>
  </si>
  <si>
    <t>Paciente sin empresa asociada</t>
  </si>
  <si>
    <t>Registrar una venta</t>
  </si>
  <si>
    <t>Se muestra la imagen de presentación declarada</t>
  </si>
  <si>
    <t>No se aplica descuento alguno</t>
  </si>
  <si>
    <t>PF-048</t>
  </si>
  <si>
    <t>Descuento visible en la tabla de ventas</t>
  </si>
  <si>
    <t>PNF-055</t>
  </si>
  <si>
    <t>Venta con convenio aplicado</t>
  </si>
  <si>
    <t>Abrir el listado de ventas</t>
  </si>
  <si>
    <t>Ícono de pestaña</t>
  </si>
  <si>
    <t>El descuento por convenio aparece como primer descuento de la fila</t>
  </si>
  <si>
    <t>Se muestra el ícono propio</t>
  </si>
  <si>
    <t>PF-049</t>
  </si>
  <si>
    <t>AUT-002</t>
  </si>
  <si>
    <t>Acceso del personal</t>
  </si>
  <si>
    <t>Ingreso de administrador</t>
  </si>
  <si>
    <t>Cuenta de administrador activa</t>
  </si>
  <si>
    <t>Iniciar sesión en el panel</t>
  </si>
  <si>
    <t>admin@kinefit.cl</t>
  </si>
  <si>
    <t>Accede al panel completo</t>
  </si>
  <si>
    <t>PNF-056</t>
  </si>
  <si>
    <t>Pendiente como siempre, cambiar las credenciales para produccion</t>
  </si>
  <si>
    <t>PF-050</t>
  </si>
  <si>
    <t>Texto alternativo</t>
  </si>
  <si>
    <t>Ingreso de especialista</t>
  </si>
  <si>
    <t>Revisar todas las imágenes</t>
  </si>
  <si>
    <t>Cuenta de especialista activa</t>
  </si>
  <si>
    <t>Todas tienen texto alternativo descriptivo</t>
  </si>
  <si>
    <t>Accede sólo a las secciones de su rol</t>
  </si>
  <si>
    <t>PNF-057</t>
  </si>
  <si>
    <t>Fallido hasta encontrar las credenciales o hacerlas</t>
  </si>
  <si>
    <t>Encabezado principal único</t>
  </si>
  <si>
    <t>PF-051</t>
  </si>
  <si>
    <t>Revisar cada página</t>
  </si>
  <si>
    <t>Credenciales incorrectas</t>
  </si>
  <si>
    <t>Cada página tiene un único encabezado principal</t>
  </si>
  <si>
    <t>Intentar ingresar con clave errónea</t>
  </si>
  <si>
    <t>El acceso se rechaza sin revelar si el usuario existe</t>
  </si>
  <si>
    <t>PNF-058</t>
  </si>
  <si>
    <t>Sin mapas de código fuente</t>
  </si>
  <si>
    <t>PF-052</t>
  </si>
  <si>
    <t>Buscar mapas de código en producción</t>
  </si>
  <si>
    <t>No se exponen</t>
  </si>
  <si>
    <t>Especialista no ve reportes</t>
  </si>
  <si>
    <t>Intentar abrir la sección de reportes</t>
  </si>
  <si>
    <t>PNF-059</t>
  </si>
  <si>
    <t>Peso de los recursos</t>
  </si>
  <si>
    <t>Pendiente hasta poder ingresar como especialista</t>
  </si>
  <si>
    <t>Medir el peso entregado al navegador</t>
  </si>
  <si>
    <t>PF-053</t>
  </si>
  <si>
    <t>Se mantiene dentro del umbral acordado</t>
  </si>
  <si>
    <t>Especialista no ve configuración global</t>
  </si>
  <si>
    <t>Intentar abrir la configuración del sitio</t>
  </si>
  <si>
    <t>El acceso se rechaza; sólo alcanza su propio horario</t>
  </si>
  <si>
    <t>PNF-060</t>
  </si>
  <si>
    <t>Imágenes optimizadas</t>
  </si>
  <si>
    <t>No puede ver el horario del centro, pero si puede ver y cambiar el de los otro especialistas</t>
  </si>
  <si>
    <t>PF-054</t>
  </si>
  <si>
    <t>Revisar el formato y tamaño de las imágenes servidas</t>
  </si>
  <si>
    <t>Acceso cruzado entre especialistas</t>
  </si>
  <si>
    <t>Se sirven optimizadas</t>
  </si>
  <si>
    <t>Dos especialistas con citas propias</t>
  </si>
  <si>
    <t>Solicitar por API una cita de la otra especialista</t>
  </si>
  <si>
    <t>La petición se rechaza con 403</t>
  </si>
  <si>
    <t>PF-055</t>
  </si>
  <si>
    <t>Paciente no accede al panel</t>
  </si>
  <si>
    <t>Solicitar un endpoint del panel con el token de paciente</t>
  </si>
  <si>
    <t>PF-056</t>
  </si>
  <si>
    <t>Creación de cuenta por el administrador</t>
  </si>
  <si>
    <t>Crear una cuenta de especialista</t>
  </si>
  <si>
    <t>La cuenta se crea y queda marcada para cambio de contraseña</t>
  </si>
  <si>
    <t>Se crea pero la funcionalidad de marcada para cambio de contraseña quedo afuera</t>
  </si>
  <si>
    <t>Cambio obligatorio de contraseña</t>
  </si>
  <si>
    <t>Cuenta recién creada</t>
  </si>
  <si>
    <t>Iniciar sesión por primera vez</t>
  </si>
  <si>
    <t>El sistema exige cambiar la contraseña antes de continuar</t>
  </si>
  <si>
    <t>PF-058</t>
  </si>
  <si>
    <t>Desactivación de cuenta</t>
  </si>
  <si>
    <t>PNF-061</t>
  </si>
  <si>
    <t>Cuenta activa con historial</t>
  </si>
  <si>
    <t>Desactivarla y volver a intentar el ingreso</t>
  </si>
  <si>
    <t>No puede iniciar sesión y su identidad se conserva en la auditoría</t>
  </si>
  <si>
    <t>No se puede desactivar una cuenta, la unica forma es eliminandolo</t>
  </si>
  <si>
    <t>PF-059</t>
  </si>
  <si>
    <t>Medición de visitas</t>
  </si>
  <si>
    <t>Registro de firma en el perfil</t>
  </si>
  <si>
    <t>Registrar la firma en el perfil</t>
  </si>
  <si>
    <t>Trazo con mouse</t>
  </si>
  <si>
    <t>La firma queda guardada y disponible para estampar documentos</t>
  </si>
  <si>
    <t>Verificar el registro de una visita</t>
  </si>
  <si>
    <t>Mecanismo de firma reutilizable eliminado — ver decisión de diseño 11 del plan de implementación backend (el profesional firma en vivo cada vez, igual que el paciente).</t>
  </si>
  <si>
    <t>La visita se registra en la herramienta de medición</t>
  </si>
  <si>
    <t>PF-060</t>
  </si>
  <si>
    <t>Contraseña nunca en claro</t>
  </si>
  <si>
    <t>Cuenta creada</t>
  </si>
  <si>
    <t>Consultar el registro del usuario en la base</t>
  </si>
  <si>
    <t>La contraseña está almacenada con hash y no en texto plano</t>
  </si>
  <si>
    <t>PNF-062</t>
  </si>
  <si>
    <t>Llamada a la acción visible</t>
  </si>
  <si>
    <t>PF-061</t>
  </si>
  <si>
    <t>Abrir el sitio en escritorio y móvil</t>
  </si>
  <si>
    <t>AGE-003</t>
  </si>
  <si>
    <t>Agenda</t>
  </si>
  <si>
    <t>Vista individual</t>
  </si>
  <si>
    <t>La llamada a la acción es visible sin desplazamiento y accesible en móvil</t>
  </si>
  <si>
    <t>Citas cargadas</t>
  </si>
  <si>
    <t>Abrir la agenda en modo individual</t>
  </si>
  <si>
    <t>Se muestra la agenda de una sola especialista</t>
  </si>
  <si>
    <t>PNF-063</t>
  </si>
  <si>
    <t>Ninguna URL de entorno expuesta</t>
  </si>
  <si>
    <t>PF-062</t>
  </si>
  <si>
    <t>Revisar enlaces y peticiones</t>
  </si>
  <si>
    <t>No aparecen URL de entornos de despliegue intermedios</t>
  </si>
  <si>
    <t>Vista comparativa</t>
  </si>
  <si>
    <t>Tres especialistas con citas</t>
  </si>
  <si>
    <t>Abrir la agenda en modo comparativo</t>
  </si>
  <si>
    <t>Se muestran las especialistas en columnas paralelas</t>
  </si>
  <si>
    <t>PNF-064</t>
  </si>
  <si>
    <t>Especialista sobre recursos ajenos — escritura</t>
  </si>
  <si>
    <t>PF-063</t>
  </si>
  <si>
    <t>Intentar crear o editar (POST/PUT) fichas y documentos de la otra</t>
  </si>
  <si>
    <t>Filtro por especialista y fechas</t>
  </si>
  <si>
    <t>Citas en distintas fechas</t>
  </si>
  <si>
    <t>Todas las peticiones de escritura se rechazan con 403</t>
  </si>
  <si>
    <t>Aplicar filtros como administrador</t>
  </si>
  <si>
    <t>El listado responde a ambos filtros</t>
  </si>
  <si>
    <t>PNF-065</t>
  </si>
  <si>
    <t>Límite de 50 en el listado unificado de documentos</t>
  </si>
  <si>
    <t>Más de 50 documentos sembrados</t>
  </si>
  <si>
    <t>PF-064</t>
  </si>
  <si>
    <t>Pedir una página con pageSize mayor a 50</t>
  </si>
  <si>
    <t>Devuelve 50, recorte silencioso</t>
  </si>
  <si>
    <t>Cambio manual de estado</t>
  </si>
  <si>
    <t>Cambiar el estado a Cancelada</t>
  </si>
  <si>
    <t>El estado cambia y se solicita motivo</t>
  </si>
  <si>
    <t>PNF-066</t>
  </si>
  <si>
    <t>Exportación a CSV sin el límite de 50</t>
  </si>
  <si>
    <t>Más de 50 documentos</t>
  </si>
  <si>
    <t>Exportar a CSV</t>
  </si>
  <si>
    <t>PF-065</t>
  </si>
  <si>
    <t>Devuelve el listado completo</t>
  </si>
  <si>
    <t>Advertencia de anticipo al cancelar</t>
  </si>
  <si>
    <t>Cancelarla</t>
  </si>
  <si>
    <t>PNF-067</t>
  </si>
  <si>
    <t>El sistema advierte del anticipo y de verificar la devolución</t>
  </si>
  <si>
    <t>Traza de acceso al listado unificado de documentos</t>
  </si>
  <si>
    <t>Endpoint de listado unificado</t>
  </si>
  <si>
    <t>Consultarlo</t>
  </si>
  <si>
    <t>Queda registrado como acceso a datos clínicos</t>
  </si>
  <si>
    <t>PF-066</t>
  </si>
  <si>
    <t>Auditoría del cambio de estado</t>
  </si>
  <si>
    <t>Cambio realizado</t>
  </si>
  <si>
    <t>Consultar la auditoría de la cita</t>
  </si>
  <si>
    <t>Queda registrada fecha, motivo e identidad individual</t>
  </si>
  <si>
    <t>No aplica, al hacer un cambio de estado no se muestra ningun tipo de auditoria</t>
  </si>
  <si>
    <t>PF-067</t>
  </si>
  <si>
    <t>Cita con pago en curso no editable</t>
  </si>
  <si>
    <t>Cita en proceso de pago</t>
  </si>
  <si>
    <t>Intentar cambiar su estado manualmente</t>
  </si>
  <si>
    <t>El sistema lo impide</t>
  </si>
  <si>
    <t>PF-068</t>
  </si>
  <si>
    <t>Datos de contacto en el detalle</t>
  </si>
  <si>
    <t>Abrir el detalle</t>
  </si>
  <si>
    <t>Se muestran los datos de contacto del paciente y el identificador de pago</t>
  </si>
  <si>
    <t>PF-069</t>
  </si>
  <si>
    <t>Especialista no modifica cita ajena</t>
  </si>
  <si>
    <t>Intentar modificar una cita de otra especialista desde la vista comparativa</t>
  </si>
  <si>
    <t>La acción no está disponible y el backend la rechaza</t>
  </si>
  <si>
    <t>PF-070</t>
  </si>
  <si>
    <t>Hitos operativos en el detalle</t>
  </si>
  <si>
    <t>Cita con pago y documento</t>
  </si>
  <si>
    <t>Se muestran los cuatro hitos: anticipo, pago total, documentos y recomendaciones</t>
  </si>
  <si>
    <t>PF-071</t>
  </si>
  <si>
    <t>Correo al cambiar el estado</t>
  </si>
  <si>
    <t>Cambiar el estado y revisar el correo del paciente</t>
  </si>
  <si>
    <t>El paciente recibe la notificación del cambio</t>
  </si>
  <si>
    <t>PF-072</t>
  </si>
  <si>
    <t>AGE-004</t>
  </si>
  <si>
    <t>Horarios</t>
  </si>
  <si>
    <t>Horario del centro</t>
  </si>
  <si>
    <t>Editar el horario de atención del centro</t>
  </si>
  <si>
    <t>El cambio se guarda y se refleja en la generación de bloques</t>
  </si>
  <si>
    <t>Se realizo una prueba cambiando el horario de atencion en el martes para maximo a las 19:00, sin embargo al elegir una fecha que cae martes siguen apareciendo bloques de 19:00 a 21:00, seguramente sea porque hay especialistas que tienen horario de atencion hasta las 21:00</t>
  </si>
  <si>
    <t>PF-073</t>
  </si>
  <si>
    <t>Plantilla por especialista</t>
  </si>
  <si>
    <t>Definir horarios distintos para dos especialistas</t>
  </si>
  <si>
    <t>Cada una genera sus propios bloques</t>
  </si>
  <si>
    <t>Se realizo una prueba donde constanza los sabados atendia de 9 a 14, y franchesa de 14 a 21, pero al ingresar un bloque el sabado 19 de sept a las 10 30 aparecia como disponible franchesca</t>
  </si>
  <si>
    <t>PF-074</t>
  </si>
  <si>
    <t>Especialista edita su horario</t>
  </si>
  <si>
    <t>Modificar su propio horario</t>
  </si>
  <si>
    <t>El cambio se guarda</t>
  </si>
  <si>
    <t>PF-075</t>
  </si>
  <si>
    <t>Especialista no edita horario ajeno</t>
  </si>
  <si>
    <t>Intentar modificar el horario de otra</t>
  </si>
  <si>
    <t>La acción se rechaza</t>
  </si>
  <si>
    <t>PF-076</t>
  </si>
  <si>
    <t>Más de un tramo por día</t>
  </si>
  <si>
    <t>Cargar dos tramos en un mismo día</t>
  </si>
  <si>
    <t>09:00-13:00 y 15:00-19:00</t>
  </si>
  <si>
    <t>Ambos tramos generan bloques</t>
  </si>
  <si>
    <t>PF-077</t>
  </si>
  <si>
    <t>Citas confirmadas no se alteran</t>
  </si>
  <si>
    <t>Cita confirmada fuera del nuevo rango</t>
  </si>
  <si>
    <t>Reducir la plantilla y guardar</t>
  </si>
  <si>
    <t>El sistema advierte antes de aplicar y la cita confirmada se conserva</t>
  </si>
  <si>
    <t>Aprobado, pero avisa despues, no antes, esta permitido que advierta luego dado que no cambia nada</t>
  </si>
  <si>
    <t>PF-078</t>
  </si>
  <si>
    <t>Plantilla limita el sitio público</t>
  </si>
  <si>
    <t>Especialista con horario acotado</t>
  </si>
  <si>
    <t>Consultar disponibilidad en el sitio</t>
  </si>
  <si>
    <t>Sólo se ofrecen bloques dentro de su plantilla</t>
  </si>
  <si>
    <t>PF-079</t>
  </si>
  <si>
    <t>AGE-005</t>
  </si>
  <si>
    <t>Bloqueo de un día completo</t>
  </si>
  <si>
    <t>Registrar un cierre total de un día</t>
  </si>
  <si>
    <t>Ningún bloque de ese día aparece disponible en el sitio</t>
  </si>
  <si>
    <t>Funciona pero a medias, primeor para cerrar el dia entero habria que generar un bloque de cierre para todos los especialistas 1 por 1. Segundo, al crear el bloque de bloqueo, aparece en la agenda, pero no especifica desede que hora empieza y termina (esto es porque el bloque no fue pensado para mostrar eso antes del refactor visual que quito el formato visual de agenda</t>
  </si>
  <si>
    <t>PF-080</t>
  </si>
  <si>
    <t>Bloqueo parcial</t>
  </si>
  <si>
    <t>Bloquear una franja del día</t>
  </si>
  <si>
    <t>15:00-17:00</t>
  </si>
  <si>
    <t>Sólo esa franja deja de ofrecerse</t>
  </si>
  <si>
    <t>Exactamente lo mismo, pero el mismo caso de antes, no se muestra en la agenda el rango por lo que un especialista no puede saber cuanto dura el bloqueo</t>
  </si>
  <si>
    <t>PF-081</t>
  </si>
  <si>
    <t>Precedencia sobre la plantilla</t>
  </si>
  <si>
    <t>Bloqueo dentro del horario de la especialista</t>
  </si>
  <si>
    <t>Consultar el sitio</t>
  </si>
  <si>
    <t>El bloqueo prevalece y el bloque no se ofrece</t>
  </si>
  <si>
    <t>PF-082</t>
  </si>
  <si>
    <t>Advertencia de citas confirmadas</t>
  </si>
  <si>
    <t>Citas confirmadas en el rango</t>
  </si>
  <si>
    <t>Registrar el bloqueo</t>
  </si>
  <si>
    <t>El sistema lista las citas afectadas y advierte antes de aplicar</t>
  </si>
  <si>
    <t>PF-083</t>
  </si>
  <si>
    <t>Motivo público en el sitio</t>
  </si>
  <si>
    <t>El motivo público se muestra al paciente</t>
  </si>
  <si>
    <t>No se muestra, sino que directamente no aparece el bloque en las posibilidades del especialista, cosa que no me parece mal</t>
  </si>
  <si>
    <t>PF-084</t>
  </si>
  <si>
    <t>Motivo interno no expuesto</t>
  </si>
  <si>
    <t>Consultar el sitio y la respuesta del API público</t>
  </si>
  <si>
    <t>El motivo interno no aparece en ninguna respuesta pública</t>
  </si>
  <si>
    <t>PF-085</t>
  </si>
  <si>
    <t>Reversión del bloqueo</t>
  </si>
  <si>
    <t>Bloqueo activo</t>
  </si>
  <si>
    <t>Revertirlo</t>
  </si>
  <si>
    <t>Los bloques vuelven a estar disponibles y queda traza del bloqueo</t>
  </si>
  <si>
    <t>PF-086</t>
  </si>
  <si>
    <t>Auditoría del bloqueo</t>
  </si>
  <si>
    <t>Bloqueo creado</t>
  </si>
  <si>
    <t>Queda registrada la identidad de quien lo ejecutó</t>
  </si>
  <si>
    <t>Fallido</t>
  </si>
  <si>
    <t>Aparece informacion de auditorio pero no de quien hizo la creacion del bloque</t>
  </si>
  <si>
    <t>PF-087</t>
  </si>
  <si>
    <t>FIC-001</t>
  </si>
  <si>
    <t>Ficha clínica</t>
  </si>
  <si>
    <t>Creación desde una cita</t>
  </si>
  <si>
    <t>Crear la ficha desde el detalle de la cita</t>
  </si>
  <si>
    <t>La ficha se guarda asociada a esa cita</t>
  </si>
  <si>
    <t>Se intento crear una ficha clinica en una reserva hecha desde la web, lo que ocurrio es que aparece como que ya tiene una ficha creada, pero realmente es un documento de consentimiento, arreglar para que se diferencien</t>
  </si>
  <si>
    <t>PF-088</t>
  </si>
  <si>
    <t>Una sola ficha por cita</t>
  </si>
  <si>
    <t>Cita con ficha existente</t>
  </si>
  <si>
    <t>Intentar crear una segunda ficha</t>
  </si>
  <si>
    <t>PF-089</t>
  </si>
  <si>
    <t>No se crea ficha sin cita</t>
  </si>
  <si>
    <t>Intentar crear una ficha sin seleccionar reserva</t>
  </si>
  <si>
    <t>PF-090</t>
  </si>
  <si>
    <t>Reservas sin duplicados en el selector</t>
  </si>
  <si>
    <t>Paciente con una reserva</t>
  </si>
  <si>
    <t>Abrir el selector de reservas del paciente</t>
  </si>
  <si>
    <t>La reserva aparece una sola vez</t>
  </si>
  <si>
    <t>PF-091</t>
  </si>
  <si>
    <t>Búsqueda por nombre y RUT</t>
  </si>
  <si>
    <t>Pacientes cargados</t>
  </si>
  <si>
    <t>Buscar por ambos criterios</t>
  </si>
  <si>
    <t>El buscador devuelve el paciente correcto</t>
  </si>
  <si>
    <t>PF-092</t>
  </si>
  <si>
    <t>Indicador de reservas con ficha</t>
  </si>
  <si>
    <t>Paciente con dos reservas, una con ficha</t>
  </si>
  <si>
    <t>Abrir el listado</t>
  </si>
  <si>
    <t>Se distingue cuál tiene ficha y cuál no</t>
  </si>
  <si>
    <t>PF-093</t>
  </si>
  <si>
    <t>Campos obligatorios</t>
  </si>
  <si>
    <t>Formato con campo obligatorio</t>
  </si>
  <si>
    <t>Guardar dejándolo vacío</t>
  </si>
  <si>
    <t>El sistema impide guardar y señala el campo</t>
  </si>
  <si>
    <t>PF-094</t>
  </si>
  <si>
    <t>Validación por tipo de dato</t>
  </si>
  <si>
    <t>Formato con campo numérico</t>
  </si>
  <si>
    <t>Ingresar texto en el campo numérico</t>
  </si>
  <si>
    <t>abc</t>
  </si>
  <si>
    <t>El sistema rechaza el valor</t>
  </si>
  <si>
    <t>PF-095</t>
  </si>
  <si>
    <t>Autor y fecha automáticos</t>
  </si>
  <si>
    <t>Ficha creada</t>
  </si>
  <si>
    <t>Abrir la ficha</t>
  </si>
  <si>
    <t>Se registran automáticamente el profesional y la fecha de creación</t>
  </si>
  <si>
    <t>No se muestra el la fecha de creación de la ficha, si se muestra la fecha donde se tiene reservado el servicio</t>
  </si>
  <si>
    <t>PF-096</t>
  </si>
  <si>
    <t>Paciente no accede a la ficha</t>
  </si>
  <si>
    <t>Solicitar la ficha con un token de paciente</t>
  </si>
  <si>
    <t>La petición se rechaza</t>
  </si>
  <si>
    <t>PF-097</t>
  </si>
  <si>
    <t>Vinculación por RUT</t>
  </si>
  <si>
    <t>Paciente creado manualmente</t>
  </si>
  <si>
    <t>Iniciar sesión con Google usando el mismo RUT</t>
  </si>
  <si>
    <t>Los registros se vinculan sin duplicar el paciente</t>
  </si>
  <si>
    <t>Se intento inciar sesión con el mismo RUT, pero decia "usuario ocupado por el mismo RUT"</t>
  </si>
  <si>
    <t>PF-098</t>
  </si>
  <si>
    <t>FIC-002</t>
  </si>
  <si>
    <t>Historial cronológico</t>
  </si>
  <si>
    <t>Paciente con varias fichas</t>
  </si>
  <si>
    <t>Abrir una ficha</t>
  </si>
  <si>
    <t>Se presenta el historial anterior en orden cronológico con acceso a cada una</t>
  </si>
  <si>
    <t>PF-099</t>
  </si>
  <si>
    <t>Edición con auditoría</t>
  </si>
  <si>
    <t>Ficha guardada</t>
  </si>
  <si>
    <t>Editarla y revisar la auditoría</t>
  </si>
  <si>
    <t>El cambio queda registrado con identidad individual</t>
  </si>
  <si>
    <t>PF-100</t>
  </si>
  <si>
    <t>Impresión en pestaña aparte</t>
  </si>
  <si>
    <t>Usar la acción de impresión</t>
  </si>
  <si>
    <t>El documento se abre en una pestaña aparte</t>
  </si>
  <si>
    <t>PF-101</t>
  </si>
  <si>
    <t>Exportación a PDF</t>
  </si>
  <si>
    <t>Exportar a PDF</t>
  </si>
  <si>
    <t>El PDF incluye identidad visual y datos del paciente</t>
  </si>
  <si>
    <t>No existe botón directo de exportar pdf en la sección de documentos</t>
  </si>
  <si>
    <t>Adjuntar PDF</t>
  </si>
  <si>
    <t>Adjuntar un archivo PDF</t>
  </si>
  <si>
    <t>Documento de prueba</t>
  </si>
  <si>
    <t>El adjunto se guarda y se visualiza en la ficha</t>
  </si>
  <si>
    <t>Una vez que se edita, aun sigue el botón de adjuntar, lo cual da una ilución falsa de que se puede editar y pero no lo hace. H-23</t>
  </si>
  <si>
    <t>PF-103</t>
  </si>
  <si>
    <t>Adjuntar imagen</t>
  </si>
  <si>
    <t>Adjuntar una imagen</t>
  </si>
  <si>
    <t>JPG de prueba</t>
  </si>
  <si>
    <t>PF-104</t>
  </si>
  <si>
    <t>Descarga del adjunto</t>
  </si>
  <si>
    <t>Adjunto cargado</t>
  </si>
  <si>
    <t>Descargarlo desde la ficha</t>
  </si>
  <si>
    <t>La descarga funciona y exige sesión válida</t>
  </si>
  <si>
    <t>PF-105</t>
  </si>
  <si>
    <t>Validación por contenido real</t>
  </si>
  <si>
    <t>Renombrar un ejecutable a .pdf e intentar adjuntarlo</t>
  </si>
  <si>
    <t>archivo.pdf falso</t>
  </si>
  <si>
    <t>El sistema lo rechaza al inspeccionar el contenido</t>
  </si>
  <si>
    <t>PF-106</t>
  </si>
  <si>
    <t>Ruta de adjunto no predecible</t>
  </si>
  <si>
    <t>Intentar acceder a la ruta del archivo sin sesión</t>
  </si>
  <si>
    <t>El acceso se rechaza y la ruta no es derivable del nombre</t>
  </si>
  <si>
    <t>PF-107</t>
  </si>
  <si>
    <t>Aviso de privacidad</t>
  </si>
  <si>
    <t>Ficha abierta</t>
  </si>
  <si>
    <t>Observar la vista</t>
  </si>
  <si>
    <t>Se advierte de forma visible que el contenido es privado</t>
  </si>
  <si>
    <t>No se obserba niguna indicación que el archivo es privado</t>
  </si>
  <si>
    <t>PF-108</t>
  </si>
  <si>
    <t>FIC-003</t>
  </si>
  <si>
    <t>Plantillas</t>
  </si>
  <si>
    <t>Creación por constructor</t>
  </si>
  <si>
    <t>Sesión autorizada</t>
  </si>
  <si>
    <t>Elegir el tipo de plantilla (Ficha, Consentimiento o Recomendación) y crear una plantilla con dos secciones y tres campos</t>
  </si>
  <si>
    <t>La plantilla se guarda y aparece en el catálogo</t>
  </si>
  <si>
    <t>PF-109</t>
  </si>
  <si>
    <t>Persistencia tras recargar</t>
  </si>
  <si>
    <t>Plantilla creada</t>
  </si>
  <si>
    <t>Recargar el panel</t>
  </si>
  <si>
    <t>La plantilla sigue existiendo</t>
  </si>
  <si>
    <t>PF-110</t>
  </si>
  <si>
    <t>Persistencia tras redespliegue</t>
  </si>
  <si>
    <t>Redesplegar la aplicación</t>
  </si>
  <si>
    <t>PF-111</t>
  </si>
  <si>
    <t>Tipos de campo</t>
  </si>
  <si>
    <t>Constructor abierto</t>
  </si>
  <si>
    <t>Crear un campo de cada tipo</t>
  </si>
  <si>
    <t>Texto corto, largo, número, fecha, selección</t>
  </si>
  <si>
    <t>Los cinco tipos se guardan y validan correctamente</t>
  </si>
  <si>
    <t>PF-112</t>
  </si>
  <si>
    <t>Campo de selección con opciones</t>
  </si>
  <si>
    <t>Definir opciones de un campo de selección</t>
  </si>
  <si>
    <t>Las opciones se guardan y se ofrecen al completar</t>
  </si>
  <si>
    <t>En la vista de crear secciones,no se logra visualizar las eltras que se contienen en los placeholders</t>
  </si>
  <si>
    <t>PF-113</t>
  </si>
  <si>
    <t>Quién completa cada campo</t>
  </si>
  <si>
    <t>Marcar un campo como del paciente y otro del profesional</t>
  </si>
  <si>
    <t>La marca se guarda y determina quién lo ve</t>
  </si>
  <si>
    <t>Al momento de crear la plantilla esta lo a opcion de quien lo completa y se guarda, pero no se marca quien lo debe completar al momento de regsitrar la ficha.</t>
  </si>
  <si>
    <t>PF-114</t>
  </si>
  <si>
    <t>Recuadros de firma</t>
  </si>
  <si>
    <t>Declarar firma de paciente y de profesional</t>
  </si>
  <si>
    <t>Ambos recuadros quedan declarados en el formato</t>
  </si>
  <si>
    <t xml:space="preserve">Se declara solamente  una sola firma, recuadro ambiguo, </t>
  </si>
  <si>
    <t>PF-115</t>
  </si>
  <si>
    <t>Carga desde documento externo</t>
  </si>
  <si>
    <t>Documento Word disponible</t>
  </si>
  <si>
    <t>Subirlo como plantilla</t>
  </si>
  <si>
    <t>Consentimiento de prueba</t>
  </si>
  <si>
    <t>La plantilla se crea conservando la presentación del documento</t>
  </si>
  <si>
    <t>PF-116</t>
  </si>
  <si>
    <t>Vista previa</t>
  </si>
  <si>
    <t>Abrir la vista previa</t>
  </si>
  <si>
    <t>Se muestra cómo quedará al completarse</t>
  </si>
  <si>
    <t>PF-117</t>
  </si>
  <si>
    <t>Versionado</t>
  </si>
  <si>
    <t>Plantilla con documentos creados</t>
  </si>
  <si>
    <t>Modificar la plantilla</t>
  </si>
  <si>
    <t>Se genera una versión nueva y los documentos previos conservan la suya</t>
  </si>
  <si>
    <t>PF-118</t>
  </si>
  <si>
    <t>Advertencia al modificar en uso</t>
  </si>
  <si>
    <t>Plantilla con documentos asociados</t>
  </si>
  <si>
    <t>Intentar modificarlo</t>
  </si>
  <si>
    <t>El sistema advierte cuántos documentos se verían afectados</t>
  </si>
  <si>
    <t>PF-119</t>
  </si>
  <si>
    <t>Eliminación bloqueada</t>
  </si>
  <si>
    <t>Intentar eliminarlo</t>
  </si>
  <si>
    <t>El sistema lo impide y ofrece desactivar</t>
  </si>
  <si>
    <t>No se pueden eliminar los documentos, porque no existe opción de eliminarlos</t>
  </si>
  <si>
    <t>PF-120</t>
  </si>
  <si>
    <t>DOC-001</t>
  </si>
  <si>
    <t>Documentos</t>
  </si>
  <si>
    <t>Asignación de documento a servicio</t>
  </si>
  <si>
    <t>Formato creado</t>
  </si>
  <si>
    <t>Asignarlo a un servicio desde configuración</t>
  </si>
  <si>
    <t>El servicio queda con el documento exigido</t>
  </si>
  <si>
    <t>PF-121</t>
  </si>
  <si>
    <t>Más de un documento por servicio</t>
  </si>
  <si>
    <t>Dos formatos creados</t>
  </si>
  <si>
    <t>Asignar ambos a un mismo servicio</t>
  </si>
  <si>
    <t>El servicio exige los dos documentos</t>
  </si>
  <si>
    <t>PF-122</t>
  </si>
  <si>
    <t>Acceso directo para crear formato</t>
  </si>
  <si>
    <t>Servicio sin formato disponible</t>
  </si>
  <si>
    <t>Abrir la asignación de documentos</t>
  </si>
  <si>
    <t>El sistema ofrece el acceso para crear un formato</t>
  </si>
  <si>
    <t>PF-123</t>
  </si>
  <si>
    <t>Momento tras confirmar reserva</t>
  </si>
  <si>
    <t>Documento configurado para antes de la cita</t>
  </si>
  <si>
    <t>Completar una reserva y pagar</t>
  </si>
  <si>
    <t>El documento se solicita después del pago y no antes</t>
  </si>
  <si>
    <t>PF-124</t>
  </si>
  <si>
    <t>Documento en pantalla tras el pago</t>
  </si>
  <si>
    <t>Observar el retorno de la pasarela</t>
  </si>
  <si>
    <t>El documento se presenta en pantalla para leerlo y firmarlo</t>
  </si>
  <si>
    <t>PF-125</t>
  </si>
  <si>
    <t>Correo de respaldo con enlace</t>
  </si>
  <si>
    <t>Revisar el correo del paciente</t>
  </si>
  <si>
    <t>Llega un correo con enlace a la página de firma, sin archivo adjunto</t>
  </si>
  <si>
    <t>PF-126</t>
  </si>
  <si>
    <t>Firma del paciente</t>
  </si>
  <si>
    <t>Documento abierto</t>
  </si>
  <si>
    <t>Completar los campos y firmar en el recuadro</t>
  </si>
  <si>
    <t>Trazo con el dedo</t>
  </si>
  <si>
    <t>El documento queda firmado y registrado</t>
  </si>
  <si>
    <t>PF-127</t>
  </si>
  <si>
    <t>Paciente no puede descargar</t>
  </si>
  <si>
    <t>Buscar la opción de descarga</t>
  </si>
  <si>
    <t>No existe opción de descarga ni exportación para el paciente</t>
  </si>
  <si>
    <t>PF-128</t>
  </si>
  <si>
    <t>Enlace de un solo uso</t>
  </si>
  <si>
    <t>Enlace ya utilizado</t>
  </si>
  <si>
    <t>Abrirlo por segunda vez</t>
  </si>
  <si>
    <t>El enlace ya no es válido</t>
  </si>
  <si>
    <t>PF-129</t>
  </si>
  <si>
    <t>Enlace expirado</t>
  </si>
  <si>
    <t>Enlace vencido</t>
  </si>
  <si>
    <t>Abrirlo</t>
  </si>
  <si>
    <t>El sistema rechaza el acceso</t>
  </si>
  <si>
    <t>PF-130</t>
  </si>
  <si>
    <t>Firma del profesional posterior</t>
  </si>
  <si>
    <t>Documento firmado por el paciente</t>
  </si>
  <si>
    <t>Firmar como profesional dibujando el trazo sobre el documento (no se reutiliza ninguna firma guardada previamente)</t>
  </si>
  <si>
    <t>El profesional dibuja su firma en el momento y esta queda posterior a la firma del paciente</t>
  </si>
  <si>
    <t>PF-131</t>
  </si>
  <si>
    <t>Estampa sólo con el trazo</t>
  </si>
  <si>
    <t>Documento firmado por ambos</t>
  </si>
  <si>
    <t>Abrir el documento resultante</t>
  </si>
  <si>
    <t>Sólo aparece el trazo; fecha, hora e identidad quedan en el registro</t>
  </si>
  <si>
    <t>PF-132</t>
  </si>
  <si>
    <t>Copia congelada</t>
  </si>
  <si>
    <t>Documento firmado</t>
  </si>
  <si>
    <t>Publicar una versión nueva del formato y reabrir el documento firmado</t>
  </si>
  <si>
    <t>El documento firmado conserva el contenido original</t>
  </si>
  <si>
    <t>PF-133</t>
  </si>
  <si>
    <t>La cita no se bloquea</t>
  </si>
  <si>
    <t>Atender la cita y marcarla como atendida</t>
  </si>
  <si>
    <t>La atención se completa sin exigir el documento</t>
  </si>
  <si>
    <t>PF-134</t>
  </si>
  <si>
    <t>Carga de documento en papel</t>
  </si>
  <si>
    <t>Subir el escaneo desde el detalle de la cita</t>
  </si>
  <si>
    <t>PDF firmado</t>
  </si>
  <si>
    <t>El documento queda asociado con origen escaneo y autor de carga</t>
  </si>
  <si>
    <t>PF-135</t>
  </si>
  <si>
    <t>Carga desde foto</t>
  </si>
  <si>
    <t>Subir una fotografía del documento</t>
  </si>
  <si>
    <t>JPG</t>
  </si>
  <si>
    <t>El sistema la acepta y la asocia a la cita</t>
  </si>
  <si>
    <t>PF-136</t>
  </si>
  <si>
    <t>Sin firma digital en escaneo</t>
  </si>
  <si>
    <t>Documento cargado en papel</t>
  </si>
  <si>
    <t>Revisar el estado</t>
  </si>
  <si>
    <t>No se exige firma digital del profesional</t>
  </si>
  <si>
    <t>PF-137</t>
  </si>
  <si>
    <t>Exclusión entre vías</t>
  </si>
  <si>
    <t>Documento firmado en línea</t>
  </si>
  <si>
    <t>Intentar cargar además un escaneo</t>
  </si>
  <si>
    <t>PF-138</t>
  </si>
  <si>
    <t>Conteo de pendientes</t>
  </si>
  <si>
    <t>Documentos sin regularizar</t>
  </si>
  <si>
    <t>Abrir el panel</t>
  </si>
  <si>
    <t>Se muestra el conteo de documentos pendientes de carga</t>
  </si>
  <si>
    <t>PF-139</t>
  </si>
  <si>
    <t>Consulta previa a la atención</t>
  </si>
  <si>
    <t>Abrir el detalle de la cita antes de atender</t>
  </si>
  <si>
    <t>El profesional puede ver el documento firmado</t>
  </si>
  <si>
    <t>PF-140</t>
  </si>
  <si>
    <t>Recomendaciones al marcar atendida</t>
  </si>
  <si>
    <t>Servicio con documento posterior</t>
  </si>
  <si>
    <t>Marcar la cita como atendida</t>
  </si>
  <si>
    <t>El paciente recibe el documento de recomendaciones por correo</t>
  </si>
  <si>
    <t>PF-141</t>
  </si>
  <si>
    <t>Reserva manual dispara el correo</t>
  </si>
  <si>
    <t>Reserva creada desde el panel</t>
  </si>
  <si>
    <t>El correo con los documentos llega sin mediar pago de anticipo</t>
  </si>
  <si>
    <t>PF-142</t>
  </si>
  <si>
    <t>Auditoría de documentos</t>
  </si>
  <si>
    <t>Documento firmado y cargado</t>
  </si>
  <si>
    <t>Creación, firma, carga y consulta quedan registradas con identidad</t>
  </si>
  <si>
    <t>PF-143</t>
  </si>
  <si>
    <t>ADM-001</t>
  </si>
  <si>
    <t>Configuración del sitio</t>
  </si>
  <si>
    <t>Edición del banner</t>
  </si>
  <si>
    <t>Editar el mensaje central y guardar</t>
  </si>
  <si>
    <t>El cambio se refleja en el sitio público</t>
  </si>
  <si>
    <t>En la sección del banner, lo unico que no se puede modificar es el titulo principal</t>
  </si>
  <si>
    <t>PF-144</t>
  </si>
  <si>
    <t>Misión y visión</t>
  </si>
  <si>
    <t>Editar ambos textos</t>
  </si>
  <si>
    <t>Los cambios se reflejan en el sitio</t>
  </si>
  <si>
    <t>PF-145</t>
  </si>
  <si>
    <t>Alta de integrante</t>
  </si>
  <si>
    <t>Crear un quinto integrante con foto, cargo, correo y biografía</t>
  </si>
  <si>
    <t>Aparece en el sitio y queda disponible para agendamiento</t>
  </si>
  <si>
    <t>PF-146</t>
  </si>
  <si>
    <t>Desactivación de integrante</t>
  </si>
  <si>
    <t>Integrante con citas confirmadas</t>
  </si>
  <si>
    <t>Desactivarlo</t>
  </si>
  <si>
    <t>Se advierte de las citas vigentes y deja de ofrecerse para nuevas reservas</t>
  </si>
  <si>
    <t>No existe botón para desactivar</t>
  </si>
  <si>
    <t>PF-147</t>
  </si>
  <si>
    <t>Servicios habilitados por integrante</t>
  </si>
  <si>
    <t>Integrante creado</t>
  </si>
  <si>
    <t>Habilitar sólo masoterapia</t>
  </si>
  <si>
    <t>Sólo se ofrece para esos servicios en la reserva</t>
  </si>
  <si>
    <t>Al seleccionar los servicios que ofrece, no refleja el especialista al momento de resevar</t>
  </si>
  <si>
    <t>PF-148</t>
  </si>
  <si>
    <t>Relación de aspecto de fotos</t>
  </si>
  <si>
    <t>Fotos cargadas</t>
  </si>
  <si>
    <t>Revisar las tarjetas del equipo en escritorio y móvil</t>
  </si>
  <si>
    <t>Las fotos conservan su proporción y no se ven comprimidas</t>
  </si>
  <si>
    <t>PF-149</t>
  </si>
  <si>
    <t>Sección de vouchers</t>
  </si>
  <si>
    <t>Cargar título, subtítulo y tres fotos</t>
  </si>
  <si>
    <t>La sección aparece después de instalaciones y antes de ubicación</t>
  </si>
  <si>
    <t>PF-150</t>
  </si>
  <si>
    <t>Botón de Apple Maps</t>
  </si>
  <si>
    <t>Sección de ubicación</t>
  </si>
  <si>
    <t>Abrir el sitio y usar ambos botones</t>
  </si>
  <si>
    <t>Google Maps y Apple Maps abren la ubicación correcta con el mismo tratamiento visual</t>
  </si>
  <si>
    <t>PF-151</t>
  </si>
  <si>
    <t>Etiqueta de opiniones</t>
  </si>
  <si>
    <t>Sitio publicado</t>
  </si>
  <si>
    <t>Revisar la sección de reseñas</t>
  </si>
  <si>
    <t>Se identifica como opiniones de Google</t>
  </si>
  <si>
    <t>Funcionando en el entorno de producción</t>
  </si>
  <si>
    <t>PF-152</t>
  </si>
  <si>
    <t>Reseñas reales</t>
  </si>
  <si>
    <t>Credencial e identificador cargados</t>
  </si>
  <si>
    <t>Guardar y recargar el sitio</t>
  </si>
  <si>
    <t>Se muestran las reseñas reales hasta el máximo configurado</t>
  </si>
  <si>
    <t>PF-153</t>
  </si>
  <si>
    <t>Video de Instagram</t>
  </si>
  <si>
    <t>Enlace cargado en el panel</t>
  </si>
  <si>
    <t>URL del reel</t>
  </si>
  <si>
    <t>El video se muestra correctamente</t>
  </si>
  <si>
    <t>PF-154</t>
  </si>
  <si>
    <t>Galería de instalaciones</t>
  </si>
  <si>
    <t>Agregar y quitar imágenes</t>
  </si>
  <si>
    <t>La galería del sitio refleja los cambios</t>
  </si>
  <si>
    <t>No existe galería de instalaciones</t>
  </si>
  <si>
    <t>PF-155</t>
  </si>
  <si>
    <t>Mapa de procesos</t>
  </si>
  <si>
    <t>Editar una etapa</t>
  </si>
  <si>
    <t>El cambio se refleja en el sitio</t>
  </si>
  <si>
    <t>PF-156</t>
  </si>
  <si>
    <t>Datos de contacto y redes</t>
  </si>
  <si>
    <t>Actualizar correo, WhatsApp y redes</t>
  </si>
  <si>
    <t>Los cambios se reflejan en el pie del sitio</t>
  </si>
  <si>
    <t>PF-157</t>
  </si>
  <si>
    <t>Carga de imagen pesada</t>
  </si>
  <si>
    <t>Imagen de gran tamaño</t>
  </si>
  <si>
    <t>Subirla desde el panel</t>
  </si>
  <si>
    <t>Imagen de 25 MB</t>
  </si>
  <si>
    <t>El sistema la procesa y optimiza, o informa el límite con claridad</t>
  </si>
  <si>
    <t>Se intento agregar uina imagen de 5MB donde se reconoció un error de red, otras imagenes mas livianas se agregan sin problema</t>
  </si>
  <si>
    <t>PF-158</t>
  </si>
  <si>
    <t>Rechazo sobre el límite</t>
  </si>
  <si>
    <t>Archivo sobre el máximo</t>
  </si>
  <si>
    <t>Intentar subirlo</t>
  </si>
  <si>
    <t>El sistema lo rechaza informando el tamaño máximo</t>
  </si>
  <si>
    <t>Solo indica que ahay un error de red, suficiente pero no especifico</t>
  </si>
  <si>
    <t>PF-159</t>
  </si>
  <si>
    <t>Catálogo de servicios</t>
  </si>
  <si>
    <t>Crear, editar y desactivar un servicio</t>
  </si>
  <si>
    <t>Los cambios se reflejan en el sitio y en la reserva</t>
  </si>
  <si>
    <t>PF-160</t>
  </si>
  <si>
    <t>Duración del servicio</t>
  </si>
  <si>
    <t>Interruptor activo</t>
  </si>
  <si>
    <t>Asignar 60 minutos a un servicio</t>
  </si>
  <si>
    <t>La duración se guarda y condiciona la reserva</t>
  </si>
  <si>
    <t>Solo se puede asignar  a un servicio nuevo, sin empargo no se puede con un servicio ya creado</t>
  </si>
  <si>
    <t>PF-161</t>
  </si>
  <si>
    <t>Auditoría de contenido</t>
  </si>
  <si>
    <t>Cambio guardado</t>
  </si>
  <si>
    <t>Queda registrada la identidad del administrador</t>
  </si>
  <si>
    <t>PF-162</t>
  </si>
  <si>
    <t>AGE-006</t>
  </si>
  <si>
    <t>Reserva manual</t>
  </si>
  <si>
    <t>Cuatro pasos del asistente</t>
  </si>
  <si>
    <t>Sesión de personal</t>
  </si>
  <si>
    <t>Recorrer el asistente</t>
  </si>
  <si>
    <t>El orden es servicio, horario, paciente y notas con resumen</t>
  </si>
  <si>
    <t>PF-163</t>
  </si>
  <si>
    <t>Búsqueda de paciente</t>
  </si>
  <si>
    <t>Buscar por RUT y por nombre</t>
  </si>
  <si>
    <t>PF-164</t>
  </si>
  <si>
    <t>Registro de paciente nuevo</t>
  </si>
  <si>
    <t>Asistente abierto</t>
  </si>
  <si>
    <t>Registrar un paciente con los cinco datos obligatorios</t>
  </si>
  <si>
    <t>El paciente se crea y queda seleccionado</t>
  </si>
  <si>
    <t>PF-165</t>
  </si>
  <si>
    <t>RUT obligatorio</t>
  </si>
  <si>
    <t>Intentar registrar sin RUT</t>
  </si>
  <si>
    <t>PF-166</t>
  </si>
  <si>
    <t>Sin anticipo</t>
  </si>
  <si>
    <t>Reserva manual creada</t>
  </si>
  <si>
    <t>Revisar la cita</t>
  </si>
  <si>
    <t>No se exige ni se registra anticipo</t>
  </si>
  <si>
    <t>PF-167</t>
  </si>
  <si>
    <t>Origen registrado</t>
  </si>
  <si>
    <t>Revisar el detalle y el reporte de origen</t>
  </si>
  <si>
    <t>La cita queda marcada como manual</t>
  </si>
  <si>
    <t>PF-168</t>
  </si>
  <si>
    <t>Dos tipos de nota</t>
  </si>
  <si>
    <t>Ingresar nota para el paciente y nota interna</t>
  </si>
  <si>
    <t>Ambas se guardan y sólo la del paciente llega al correo</t>
  </si>
  <si>
    <t>PF-169</t>
  </si>
  <si>
    <t>Respeto de disponibilidad</t>
  </si>
  <si>
    <t>Bloque ocupado</t>
  </si>
  <si>
    <t>Intentar agendar sobre él</t>
  </si>
  <si>
    <t>PF-170</t>
  </si>
  <si>
    <t>Especialista agenda sólo su agenda</t>
  </si>
  <si>
    <t>Intentar agendar en la agenda de otra</t>
  </si>
  <si>
    <t>Un especialista puede reservar a nombre de otro especialista</t>
  </si>
  <si>
    <t>PF-171</t>
  </si>
  <si>
    <t>Administrador agenda en cualquiera</t>
  </si>
  <si>
    <t>Agendar en la agenda de una especialista</t>
  </si>
  <si>
    <t>La cita se crea correctamente</t>
  </si>
  <si>
    <t>PF-172</t>
  </si>
  <si>
    <t>Auditoría de la cita manual</t>
  </si>
  <si>
    <t>Cita creada</t>
  </si>
  <si>
    <t>Queda la identidad de quien la creó</t>
  </si>
  <si>
    <t>Esta la identidad de la especialista a atender, pero no quie lo reservó</t>
  </si>
  <si>
    <t>PF-173</t>
  </si>
  <si>
    <t>AGE-007</t>
  </si>
  <si>
    <t>Confirmación</t>
  </si>
  <si>
    <t>Origen de confirmación</t>
  </si>
  <si>
    <t>Cita por confirmar</t>
  </si>
  <si>
    <t>Confirmarla manualmente</t>
  </si>
  <si>
    <t>Se registra el origen Profesional y es visible en el detalle</t>
  </si>
  <si>
    <t>PF-174</t>
  </si>
  <si>
    <t>Auditoría del origen</t>
  </si>
  <si>
    <t>Confirmación realizada</t>
  </si>
  <si>
    <t>El origen queda junto a la identidad de quien confirmó</t>
  </si>
  <si>
    <t>Solo se ve el especialista en el qu4e se registro para que haga el servicio</t>
  </si>
  <si>
    <t>PF-175</t>
  </si>
  <si>
    <t>PAC-001</t>
  </si>
  <si>
    <t>Listado y buscador</t>
  </si>
  <si>
    <t>Buscar por RUT, nombre y correo</t>
  </si>
  <si>
    <t>El listado responde correctamente a los tres criterios</t>
  </si>
  <si>
    <t>PF-176</t>
  </si>
  <si>
    <t>Perfil consolidado</t>
  </si>
  <si>
    <t>Paciente con historial</t>
  </si>
  <si>
    <t>Abrir su perfil</t>
  </si>
  <si>
    <t>Muestra contacto, historial de citas y acceso a fichas</t>
  </si>
  <si>
    <t>PF-177</t>
  </si>
  <si>
    <t>Contadores de actividad</t>
  </si>
  <si>
    <t>Paciente con citas en distintos estados</t>
  </si>
  <si>
    <t>Los contadores de atendidas, canceladas y no asistidas son correctos</t>
  </si>
  <si>
    <t>PF-178</t>
  </si>
  <si>
    <t>Estado de documentos</t>
  </si>
  <si>
    <t>Paciente con documento pendiente</t>
  </si>
  <si>
    <t>Se distingue qué documentos están firmados y cuáles pendientes</t>
  </si>
  <si>
    <t>PF-179</t>
  </si>
  <si>
    <t>VEN-001</t>
  </si>
  <si>
    <t>Ventas</t>
  </si>
  <si>
    <t>Registro con efectivo</t>
  </si>
  <si>
    <t>Registrar una venta en efectivo</t>
  </si>
  <si>
    <t>32.000</t>
  </si>
  <si>
    <t>La venta se registra sin comisión de terminal</t>
  </si>
  <si>
    <t>PF-180</t>
  </si>
  <si>
    <t>Registro con transferencia</t>
  </si>
  <si>
    <t>Registrar una venta por transferencia</t>
  </si>
  <si>
    <t>PF-181</t>
  </si>
  <si>
    <t>Registro con débito</t>
  </si>
  <si>
    <t>Terminal configurado</t>
  </si>
  <si>
    <t>Registrar una venta con débito</t>
  </si>
  <si>
    <t>Se aplica la comisión de débito del terminal</t>
  </si>
  <si>
    <t>Al poner un monto manual, el 0 persiste como saldo y puede tenenderse a confucniones ya que se muestra como "032000", pero aún así no afecta el monto es como mas de experiencia de usuario.</t>
  </si>
  <si>
    <t>PF-182</t>
  </si>
  <si>
    <t>Registro con crédito</t>
  </si>
  <si>
    <t>Registrar una venta con crédito</t>
  </si>
  <si>
    <t>Se aplica la comisión de crédito del terminal</t>
  </si>
  <si>
    <t>PF-183</t>
  </si>
  <si>
    <t>Alta de terminal</t>
  </si>
  <si>
    <t>Crear un terminal con plazo de abono y comisiones</t>
  </si>
  <si>
    <t>El terminal queda disponible para registrar ventas</t>
  </si>
  <si>
    <t>Se intento con el especialista, y expulsa un 403, esta correcto, pero mejorar el mensjae como usuario no autorizado</t>
  </si>
  <si>
    <t>PF-184</t>
  </si>
  <si>
    <t>Plazo en días hábiles</t>
  </si>
  <si>
    <t>Terminal creado</t>
  </si>
  <si>
    <t>Revisar la etiqueta del plazo de abono</t>
  </si>
  <si>
    <t>Se expresa en días hábiles</t>
  </si>
  <si>
    <t>PF-185</t>
  </si>
  <si>
    <t>Notas del terminal</t>
  </si>
  <si>
    <t>Ingresar notas y guardar</t>
  </si>
  <si>
    <t>Modelo mixto contratado</t>
  </si>
  <si>
    <t>Las notas se ven en el detalle del terminal y en el de las ventas</t>
  </si>
  <si>
    <t>PF-186</t>
  </si>
  <si>
    <t>Comisión porcentual</t>
  </si>
  <si>
    <t>Terminal con modelo porcentual</t>
  </si>
  <si>
    <t>La comisión se calcula sólo como porcentaje</t>
  </si>
  <si>
    <t>PF-187</t>
  </si>
  <si>
    <t>Comisión mixta</t>
  </si>
  <si>
    <t>Terminal con modelo mixto</t>
  </si>
  <si>
    <t>Porcentaje más cargo fijo</t>
  </si>
  <si>
    <t>La comisión suma el porcentaje y el cargo fijo</t>
  </si>
  <si>
    <t>PF-188</t>
  </si>
  <si>
    <t>Impuesto sobre la comisión</t>
  </si>
  <si>
    <t>Terminal con impuesto activo</t>
  </si>
  <si>
    <t>El impuesto de la comisión se incorpora al cálculo</t>
  </si>
  <si>
    <t>PF-189</t>
  </si>
  <si>
    <t>Vigencia de comisión</t>
  </si>
  <si>
    <t>Comisión modificada con nueva vigencia</t>
  </si>
  <si>
    <t>Revisar ventas anteriores</t>
  </si>
  <si>
    <t>Las ventas previas conservan el cálculo con la comisión anterior</t>
  </si>
  <si>
    <t>PF-190</t>
  </si>
  <si>
    <t>Ítems no agendados</t>
  </si>
  <si>
    <t>Venta abierta</t>
  </si>
  <si>
    <t>Agregar propina y un producto</t>
  </si>
  <si>
    <t>Los ítems se suman al total de la venta</t>
  </si>
  <si>
    <t>PF-191</t>
  </si>
  <si>
    <t>Precio fijo por servicio</t>
  </si>
  <si>
    <t>Mismo servicio</t>
  </si>
  <si>
    <t>Registrar la misma venta con débito y con crédito</t>
  </si>
  <si>
    <t>El precio del servicio no varía; sólo cambia la comisión</t>
  </si>
  <si>
    <t>PF-192</t>
  </si>
  <si>
    <t>Descuento de convenio como primer descuento</t>
  </si>
  <si>
    <t>Paciente con convenio vigente</t>
  </si>
  <si>
    <t>Registrar la venta y abrir el listado</t>
  </si>
  <si>
    <t>PF-193</t>
  </si>
  <si>
    <t>Columnas del listado</t>
  </si>
  <si>
    <t>Ventas registradas</t>
  </si>
  <si>
    <t>Se muestran las columnas definidas, desde monto bruto hasta margen de la empresa</t>
  </si>
  <si>
    <t>PF-194</t>
  </si>
  <si>
    <t>Desglose paso a paso</t>
  </si>
  <si>
    <t>Venta registrada</t>
  </si>
  <si>
    <t>Se muestra el cálculo completo desde el bruto hasta el reparto final</t>
  </si>
  <si>
    <t>PF-195</t>
  </si>
  <si>
    <t>Margen empresa</t>
  </si>
  <si>
    <t>Revisar la nomenclatura</t>
  </si>
  <si>
    <t>Se identifica como margen de la empresa y no como margen clínica</t>
  </si>
  <si>
    <t>PF-196</t>
  </si>
  <si>
    <t>Filtros del listado</t>
  </si>
  <si>
    <t>Ventas en distintas fechas</t>
  </si>
  <si>
    <t>Aplicar cada filtro</t>
  </si>
  <si>
    <t>Hoy, ayer, 30 días, 10 semanas, personalizado</t>
  </si>
  <si>
    <t>Cada filtro devuelve el conjunto correcto</t>
  </si>
  <si>
    <t>PF-197</t>
  </si>
  <si>
    <t>Filtro por método de pago</t>
  </si>
  <si>
    <t>Ventas con los cuatro métodos</t>
  </si>
  <si>
    <t>Filtrar por cada uno</t>
  </si>
  <si>
    <t>El listado responde correctamente</t>
  </si>
  <si>
    <t>PF-198</t>
  </si>
  <si>
    <t>Exportación a hoja de cálculo</t>
  </si>
  <si>
    <t>Exportar</t>
  </si>
  <si>
    <t>Se descarga el archivo con los datos filtrados</t>
  </si>
  <si>
    <t>PF-199</t>
  </si>
  <si>
    <t>REP-001</t>
  </si>
  <si>
    <t>Reportes</t>
  </si>
  <si>
    <t>Acceso exclusivo del administrador</t>
  </si>
  <si>
    <t>Intentar abrir reportes</t>
  </si>
  <si>
    <t>PF-200</t>
  </si>
  <si>
    <t>Listado de movimientos</t>
  </si>
  <si>
    <t>Abrir el reporte de un período</t>
  </si>
  <si>
    <t>Se listan identificador, fecha, monto y cliente con acceso al detalle</t>
  </si>
  <si>
    <t>PF-201</t>
  </si>
  <si>
    <t>Contadores de resumen</t>
  </si>
  <si>
    <t>Revisar el resumen</t>
  </si>
  <si>
    <t>Total de ventas, pagos parciales y ventas eliminadas son correctos</t>
  </si>
  <si>
    <t>PF-202</t>
  </si>
  <si>
    <t>Comparación de períodos</t>
  </si>
  <si>
    <t>Dos períodos con datos</t>
  </si>
  <si>
    <t>Comparar</t>
  </si>
  <si>
    <t>Se muestra la variación porcentual de cada indicador</t>
  </si>
  <si>
    <t>PF-203</t>
  </si>
  <si>
    <t>Indicadores principales</t>
  </si>
  <si>
    <t>Citas y ventas cargadas</t>
  </si>
  <si>
    <t>Revisar los indicadores</t>
  </si>
  <si>
    <t>Reservas totales, ocupación e inasistencias son correctos</t>
  </si>
  <si>
    <t>PF-204</t>
  </si>
  <si>
    <t>Distribución por hora y día</t>
  </si>
  <si>
    <t>Citas en distintos horarios</t>
  </si>
  <si>
    <t>Revisar la distribución</t>
  </si>
  <si>
    <t>Refleja correctamente los horarios de mayor demanda</t>
  </si>
  <si>
    <t>PF-205</t>
  </si>
  <si>
    <t>Origen de las reservas</t>
  </si>
  <si>
    <t>Citas web y manuales</t>
  </si>
  <si>
    <t>Revisar el reporte de origen</t>
  </si>
  <si>
    <t>Distingue correctamente ambos orígenes</t>
  </si>
  <si>
    <t>PF-206</t>
  </si>
  <si>
    <t>Rankings</t>
  </si>
  <si>
    <t>Datos cargados</t>
  </si>
  <si>
    <t>Revisar los rankings</t>
  </si>
  <si>
    <t>Servicios, profesionales y clientes se ordenan correctamente</t>
  </si>
  <si>
    <t>PF-207</t>
  </si>
  <si>
    <t>Vistas diaria, semanal y mensual</t>
  </si>
  <si>
    <t>Cambiar de vista</t>
  </si>
  <si>
    <t>Los tres cortes funcionan</t>
  </si>
  <si>
    <t>PF-208</t>
  </si>
  <si>
    <t>Exportación</t>
  </si>
  <si>
    <t>Reporte abierto</t>
  </si>
  <si>
    <t>Exportar a hoja de cálculo</t>
  </si>
  <si>
    <t>Se descarga el archivo con la información filtrada</t>
  </si>
  <si>
    <t>PF-209</t>
  </si>
  <si>
    <t>REP-002</t>
  </si>
  <si>
    <t>Definición de porcentaje</t>
  </si>
  <si>
    <t>Definir 50% para una profesional</t>
  </si>
  <si>
    <t>El acuerdo se guarda con su vigencia</t>
  </si>
  <si>
    <t>En efecto funciona la repartición, pero al momento de realizar la venta, no se especifica a que profesional le pertences el reparto, solo se indica el nombre de quien registro la venta, a menos que se deba asumir que el que registro la venta, es el individuo con el que se reparte.</t>
  </si>
  <si>
    <t>PF-210</t>
  </si>
  <si>
    <t>Cálculo sobre el neto</t>
  </si>
  <si>
    <t>Venta de 100.000 con impuesto 19% y reparto 50%</t>
  </si>
  <si>
    <t>Registrar la venta y revisar el desglose</t>
  </si>
  <si>
    <t>El reparto se calcula sobre el monto sin impuesto, no sobre el bruto</t>
  </si>
  <si>
    <t>r</t>
  </si>
  <si>
    <t>¿No seria con el monto con inpuestesto?. el monto bruto es sin impuesto</t>
  </si>
  <si>
    <t>PF-211</t>
  </si>
  <si>
    <t>Descuento de la comisión</t>
  </si>
  <si>
    <t>Venta con terminal</t>
  </si>
  <si>
    <t>Revisar el desglose</t>
  </si>
  <si>
    <t>La comisión del terminal se descuenta del reparto</t>
  </si>
  <si>
    <t>PF-212</t>
  </si>
  <si>
    <t>Vigencia del acuerdo</t>
  </si>
  <si>
    <t>Acuerdo modificado desde una fecha</t>
  </si>
  <si>
    <t>Revisar ventas anteriores y posteriores</t>
  </si>
  <si>
    <t>Cada venta usa el acuerdo vigente a su fecha</t>
  </si>
  <si>
    <t>PF-213</t>
  </si>
  <si>
    <t>Tasa de impuesto configurable</t>
  </si>
  <si>
    <t>Modificar la tasa con nueva vigencia</t>
  </si>
  <si>
    <t>Las ventas nuevas usan la tasa nueva y las anteriores conservan la suya</t>
  </si>
  <si>
    <t>PF-214</t>
  </si>
  <si>
    <t>Reporte por profesional</t>
  </si>
  <si>
    <t>Ventas de dos profesionales</t>
  </si>
  <si>
    <t>Abrir el reporte del período</t>
  </si>
  <si>
    <t>Muestra monto cobrado, impuesto, comisión y reparto por cada una</t>
  </si>
  <si>
    <t>PF-215</t>
  </si>
  <si>
    <t>Acceso exclusivo</t>
  </si>
  <si>
    <t>Intentar abrir el reporte</t>
  </si>
  <si>
    <t>PF-216</t>
  </si>
  <si>
    <t>NOT-001</t>
  </si>
  <si>
    <t>Notificaciones</t>
  </si>
  <si>
    <t>Correo de confirmación</t>
  </si>
  <si>
    <t>Llega con especialista, servicio, fecha y hora</t>
  </si>
  <si>
    <t>PF-217</t>
  </si>
  <si>
    <t>Correo de documentos</t>
  </si>
  <si>
    <t>Servicio con documento</t>
  </si>
  <si>
    <t>Llega el correo con el enlace de firma</t>
  </si>
  <si>
    <t>PF-218</t>
  </si>
  <si>
    <t>Correo de recordatorio</t>
  </si>
  <si>
    <t>Cita futura</t>
  </si>
  <si>
    <t>Esperar la antelación configurada</t>
  </si>
  <si>
    <t>Llega el recordatorio</t>
  </si>
  <si>
    <t>PF-219</t>
  </si>
  <si>
    <t>Correo post atención</t>
  </si>
  <si>
    <t>Cita marcada como atendida</t>
  </si>
  <si>
    <t>Revisar el correo</t>
  </si>
  <si>
    <t>Llega el documento de recomendaciones</t>
  </si>
  <si>
    <t>PF-220</t>
  </si>
  <si>
    <t>Nota del paciente en el correo</t>
  </si>
  <si>
    <t>Reserva manual con nota</t>
  </si>
  <si>
    <t>La nota para el paciente aparece; la nota interna no</t>
  </si>
  <si>
    <t>PF-221</t>
  </si>
  <si>
    <t>Registro de envíos</t>
  </si>
  <si>
    <t>Correos enviados</t>
  </si>
  <si>
    <t>Consultar el registro</t>
  </si>
  <si>
    <t>Cada envío guarda tipo, destinatario, estado e intentos</t>
  </si>
  <si>
    <t>PF-222</t>
  </si>
  <si>
    <t>Reintento ante fallo</t>
  </si>
  <si>
    <t>Servicio de correo caído</t>
  </si>
  <si>
    <t>Provocar un fallo de envío</t>
  </si>
  <si>
    <t>El envío queda como fallido y se reintenta sin interrumpir la operación</t>
  </si>
  <si>
    <t>PF-223</t>
  </si>
  <si>
    <t>Creación desde cita Confirmada</t>
  </si>
  <si>
    <t>Cita Confirmada, sin ficha</t>
  </si>
  <si>
    <t>Registrar la ficha desde el detalle de la cita antes de marcarla Atendida</t>
  </si>
  <si>
    <t>La ficha se crea sin exigir que la cita esté Atendida</t>
  </si>
  <si>
    <t>No se puede agregar una ficha.</t>
  </si>
  <si>
    <t>PF-224</t>
  </si>
  <si>
    <t>FIC-004</t>
  </si>
  <si>
    <t>Ficha nace como borrador editable</t>
  </si>
  <si>
    <t>Ficha recién creada</t>
  </si>
  <si>
    <t>Abrirla</t>
  </si>
  <si>
    <t>Aparece en estado Borrador y admite edición</t>
  </si>
  <si>
    <t>Se registra correctamente, pero no se muestra los ultimos editados, fue necesario buscar la ficha en particular.</t>
  </si>
  <si>
    <t>PF-225</t>
  </si>
  <si>
    <t>Cierre explícito con aviso de irreversibilidad</t>
  </si>
  <si>
    <t>Ficha en Borrador con contenido</t>
  </si>
  <si>
    <t>Cerrarla</t>
  </si>
  <si>
    <t>El sistema advierte que no podrá editarse antes de confirmar</t>
  </si>
  <si>
    <t>PF-226</t>
  </si>
  <si>
    <t>Ficha cerrada rechaza edición</t>
  </si>
  <si>
    <t>Ficha cerrada</t>
  </si>
  <si>
    <t>Intentar editarla</t>
  </si>
  <si>
    <t>Efectivamente, no permite editar, pero aun existe un botón de adjuntar, no permite hacer cambios, pero no deberia estar</t>
  </si>
  <si>
    <t>PF-227</t>
  </si>
  <si>
    <t>Tipo obligatorio al crear plantilla</t>
  </si>
  <si>
    <t>Intentar guardar sin elegir tipo</t>
  </si>
  <si>
    <t>PF-228</t>
  </si>
  <si>
    <t>Rechazo de tipo incorrecto a nivel de API</t>
  </si>
  <si>
    <t>Plantilla de tipo Consentimiento</t>
  </si>
  <si>
    <t>Enviar directamente (sin pasar por la interfaz) una petición para registrar una Ficha usando esa plantilla</t>
  </si>
  <si>
    <t>El backend rechaza la operación, no solo la interfaz</t>
  </si>
  <si>
    <t>PF-229</t>
  </si>
  <si>
    <t>DOC-002</t>
  </si>
  <si>
    <t>Recomendaciones</t>
  </si>
  <si>
    <t>Pregunta obligatoria al marcar atendida</t>
  </si>
  <si>
    <t>Cita por marcar Atendida, servicio con recomendación asignada</t>
  </si>
  <si>
    <t>Marcar la cita como Atendida</t>
  </si>
  <si>
    <t>El sistema pregunta si se desea enviar una recomendación antes de continuar</t>
  </si>
  <si>
    <t>Bloqueado</t>
  </si>
  <si>
    <t>Existe un error de red al mandar una recomendación</t>
  </si>
  <si>
    <t>Módulo Recomendaciones nuevo — verificar si ya tiene número de historia asignado en Historias de Usuario v-final; se usa DOC-002 como referencia provisoria.</t>
  </si>
  <si>
    <t>PF-230</t>
  </si>
  <si>
    <t>No enviar si no se responde o se responde que no</t>
  </si>
  <si>
    <t>Pregunta mostrada</t>
  </si>
  <si>
    <t>Cerrar el diálogo sin responder, y por separado responder "No"</t>
  </si>
  <si>
    <t>En ambos casos no se envía ningún correo</t>
  </si>
  <si>
    <t>PF-231</t>
  </si>
  <si>
    <t>Recomendación estándar del servicio</t>
  </si>
  <si>
    <t>Servicio con recomendación estándar configurada</t>
  </si>
  <si>
    <t>Elegir "estándar"</t>
  </si>
  <si>
    <t>El paciente recibe por correo el contenido de la plantilla del servicio</t>
  </si>
  <si>
    <t>PF-232</t>
  </si>
  <si>
    <t>Recomendación personalizada — PDF adjunto</t>
  </si>
  <si>
    <t>Cita atendida</t>
  </si>
  <si>
    <t>Elegir "personalizada" y adjuntar un PDF</t>
  </si>
  <si>
    <t>El paciente recibe ese PDF específico, no la estándar</t>
  </si>
  <si>
    <t>PF-233</t>
  </si>
  <si>
    <t>Recomendación personalizada — plantilla completada</t>
  </si>
  <si>
    <t>Elegir "personalizada" y completar una plantilla de recomendación</t>
  </si>
  <si>
    <t>El paciente recibe el contenido completado, no la estándar</t>
  </si>
  <si>
    <t>PF-234</t>
  </si>
  <si>
    <t xml:space="preserve">  </t>
  </si>
  <si>
    <t>Recomendación estándar ya enviada para esa cita</t>
  </si>
  <si>
    <t>Enviar una personalizada para la misma cita</t>
  </si>
  <si>
    <t>Se actualiza el mismo registro; el paciente recibe una sola recomendación, no dos correos</t>
  </si>
  <si>
    <t>PF-235</t>
  </si>
  <si>
    <t>Ambas variantes quedan en el listado</t>
  </si>
  <si>
    <t>Recomendación enviada (cualquier variante)</t>
  </si>
  <si>
    <t>Abrir el listado de documentos</t>
  </si>
  <si>
    <t>Aparece con su tipo y, si es personalizada, con su contenido propio; si es estándar, con qué se envió y cuándo</t>
  </si>
  <si>
    <t>PF-236</t>
  </si>
  <si>
    <t>Kinesiología sin recomendación asignada no pregunta nada</t>
  </si>
  <si>
    <t>Cita de Kinesiología marcada Atendida</t>
  </si>
  <si>
    <t>Observar el flujo</t>
  </si>
  <si>
    <t>No aparece la pregunta de recomendación</t>
  </si>
  <si>
    <t>PF-237</t>
  </si>
  <si>
    <t>Especialista lee documentos de otra</t>
  </si>
  <si>
    <t>Dos especialistas, cada una con documentos propios</t>
  </si>
  <si>
    <t>Especialista A abre el listado y el detalle de un documento de la Especialista B</t>
  </si>
  <si>
    <t>Puede verlo completo</t>
  </si>
  <si>
    <t>Invierte deliberadamente el requisito 7.11 del acta de requerimientos ('una especialista solo ve los documentos de las atenciones que realizó'). No es un hallazgo si el resultado es el de esta fila.</t>
  </si>
  <si>
    <t>PF-238</t>
  </si>
  <si>
    <t>Especialista no puede crear ni editar sobre citas ajenas</t>
  </si>
  <si>
    <t>Cita de la Especialista B</t>
  </si>
  <si>
    <t>Especialista A intenta crear o editar una ficha sobre esa cita</t>
  </si>
  <si>
    <t>El sistema lo rechaza</t>
  </si>
  <si>
    <t>PF-239</t>
  </si>
  <si>
    <t>Vencimiento con nueva fórmula</t>
  </si>
  <si>
    <t>Enlace reemitido para una cita ya pasada</t>
  </si>
  <si>
    <t>Calcular la fecha de vencimiento</t>
  </si>
  <si>
    <t>Vence 1 día después de la emisión, nunca en el pasado</t>
  </si>
  <si>
    <t>PF-240</t>
  </si>
  <si>
    <t>Reenvío por correo</t>
  </si>
  <si>
    <t>Enlace vigente</t>
  </si>
  <si>
    <t>Usar la opción de reenviar (no solo copiar)</t>
  </si>
  <si>
    <t>El paciente recibe un nuevo correo con el enlace</t>
  </si>
  <si>
    <t>PF-241</t>
  </si>
  <si>
    <t>Texto "cargado el…", nunca "firmado el…"</t>
  </si>
  <si>
    <t>Ver el detalle</t>
  </si>
  <si>
    <t>Se muestra "cargado el [fecha]", nunca "firmado el"</t>
  </si>
  <si>
    <t>PF-242</t>
  </si>
  <si>
    <t>Distinción firmado digital vs. papel</t>
  </si>
  <si>
    <t>Un documento de cada tipo</t>
  </si>
  <si>
    <t>Ver el listado y el detalle</t>
  </si>
  <si>
    <t>Ambos casos son visualmente distinguibles entre sí</t>
  </si>
  <si>
    <t>PF-243</t>
  </si>
  <si>
    <t>Cancelar cita bloquea sus documentos</t>
  </si>
  <si>
    <t>Cita con documentos asociados</t>
  </si>
  <si>
    <t>Los documentos pasan a Bloqueado con motivo registrado</t>
  </si>
  <si>
    <t>PF-244</t>
  </si>
  <si>
    <t>Baja de especialista cierra sus documentos vigentes</t>
  </si>
  <si>
    <t>Especialista con documentos vigentes</t>
  </si>
  <si>
    <t>Darla de baja</t>
  </si>
  <si>
    <t>Sus documentos pasan a Cerrado por baja con motivo registrado</t>
  </si>
  <si>
    <t>No hay opción para dejar de baja un documento</t>
  </si>
  <si>
    <t>PF-245</t>
  </si>
  <si>
    <t>Documentos bloqueados/cerrados por baja siguen en el listado</t>
  </si>
  <si>
    <t>Documento bloqueado o cerrado por baja</t>
  </si>
  <si>
    <t>Sigue apareciendo, con su estado visible, no desaparece</t>
  </si>
  <si>
    <t>PF-246</t>
  </si>
  <si>
    <t>Documento cerrado por baja no se confunde con uno firmado</t>
  </si>
  <si>
    <t>Documento cerrado por baja</t>
  </si>
  <si>
    <t>Verlo en listado y detalle</t>
  </si>
  <si>
    <t>Se distingue claramente de un documento firmado normalmente</t>
  </si>
  <si>
    <t>PF-247</t>
  </si>
  <si>
    <t>"Ver auditoría" es acción separada de "ver firma"</t>
  </si>
  <si>
    <t>Documento con historial</t>
  </si>
  <si>
    <t>Existen dos acciones distintas: una para quién firmó y cuándo, otra para la auditoría completa</t>
  </si>
  <si>
    <t>PF-248</t>
  </si>
  <si>
    <t>Auditoría nunca expone IP ni token</t>
  </si>
  <si>
    <t>Documento con historial de acceso</t>
  </si>
  <si>
    <t>No aparece IP ni token en ningún campo visible</t>
  </si>
  <si>
    <t>PF-249</t>
  </si>
  <si>
    <t>Consentimiento reutilizado aparece una sola vez</t>
  </si>
  <si>
    <t>Consentimiento vigente que cubre varias citas</t>
  </si>
  <si>
    <t>Abrir el listado general</t>
  </si>
  <si>
    <t>Aparece una sola fila, en la cita donde se firmó</t>
  </si>
  <si>
    <t>PF-250</t>
  </si>
  <si>
    <t>Cobertura visible al abrir cada cita cubierta</t>
  </si>
  <si>
    <t>Cita cubierta por un consentimiento anterior</t>
  </si>
  <si>
    <t>Abrir su detalle</t>
  </si>
  <si>
    <t>Indica que está cubierta por una firma anterior</t>
  </si>
  <si>
    <t>PF-251</t>
  </si>
  <si>
    <t>Adjuntos en Consentimiento y Recomendación</t>
  </si>
  <si>
    <t>Documento de tipo Consentimiento o Recomendación</t>
  </si>
  <si>
    <t>Adjuntar un archivo</t>
  </si>
  <si>
    <t>Se guarda igual que en una Ficha</t>
  </si>
  <si>
    <t>PF-252</t>
  </si>
  <si>
    <t>Menú renombrado sin contador</t>
  </si>
  <si>
    <t>Ver el menú lateral</t>
  </si>
  <si>
    <t>Dice "Documentos", sin badge numérico</t>
  </si>
  <si>
    <t>PF-253</t>
  </si>
  <si>
    <t>Redirección desde la ruta vieja</t>
  </si>
  <si>
    <t>Marcador o enlace a la ruta anterior</t>
  </si>
  <si>
    <t>Redirige a la ruta nueva sin error</t>
  </si>
  <si>
    <t>PF-254</t>
  </si>
  <si>
    <t>Cinco filtros resueltos en backend</t>
  </si>
  <si>
    <t>Listado con más resultados que una página</t>
  </si>
  <si>
    <t>Filtrar por tipo, búsqueda, fecha, estado y especialista, cada uno por separado</t>
  </si>
  <si>
    <t>Cada filtro devuelve resultados correctos consultando al backend, no filtrando solo lo cargado en pantalla</t>
  </si>
  <si>
    <t>PF-255</t>
  </si>
  <si>
    <t>Visor de PDF en modo solo lectura</t>
  </si>
  <si>
    <t>Documento de origen PDF, consulta (no firma)</t>
  </si>
  <si>
    <t>Abrirlo para consultar</t>
  </si>
  <si>
    <t>Se ve el documento, no se puede dibujar sobre él; el botón de pantalla completa sigue disponible</t>
  </si>
  <si>
    <t>PF-256</t>
  </si>
  <si>
    <t>El listado no mezcla filas de distinto tipo con el mismo id</t>
  </si>
  <si>
    <t>Ficha y Consentimiento con ids consecutivos</t>
  </si>
  <si>
    <t>Abrir ambas filas desde el listado</t>
  </si>
  <si>
    <t>Cada clic abre el documento correcto según su tipo</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</si>
</sst>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
    <numFmt numFmtId="165" formatCode="0.0%"/>
  </numFmts>
  <fonts count="8">
    <font>
      <sz val="11.0"/>
      <color theme="1"/>
      <name val="Calibri"/>
      <scheme val="minor"/>
    </font>
    <font>
      <b/>
      <sz val="14.0"/>
      <color rgb="FF0B192C"/>
      <name val="Arial"/>
    </font>
    <font>
      <sz val="10.0"/>
      <color theme="1"/>
      <name val="Arial"/>
    </font>
    <font>
      <b/>
      <sz val="10.0"/>
      <color theme="1"/>
      <name val="Arial"/>
    </font>
    <font>
      <b/>
      <sz val="10.0"/>
      <color rgb="FFFFFFFF"/>
      <name val="Arial"/>
    </font>
    <font>
      <sz val="11.0"/>
      <color theme="1"/>
      <name val="Arial"/>
    </font>
    <font>
      <sz val="11.0"/>
      <color theme="1"/>
      <name val="Calibri"/>
    </font>
    <font>
      <color theme="1"/>
      <name val="Calibri"/>
      <scheme val="minor"/>
    </font>
  </fonts>
  <fills count="10">
    <fill>
      <patternFill patternType="none"/>
    </fill>
    <fill>
      <patternFill patternType="lightGray"/>
    </fill>
    <fill>
      <patternFill patternType="solid">
        <fgColor rgb="FFE7EDF5"/>
        <bgColor rgb="FFE7EDF5"/>
      </patternFill>
    </fill>
    <fill>
      <patternFill patternType="solid">
        <fgColor rgb="FF0B192C"/>
        <bgColor rgb="FF0B192C"/>
      </patternFill>
    </fill>
    <fill>
      <patternFill patternType="solid">
        <fgColor rgb="FFF4F7FB"/>
        <bgColor rgb="FFF4F7FB"/>
      </patternFill>
    </fill>
    <fill>
      <patternFill patternType="solid">
        <fgColor rgb="FFFF0000"/>
        <bgColor rgb="FFFF0000"/>
      </patternFill>
    </fill>
    <fill>
      <patternFill patternType="solid">
        <fgColor rgb="FFFFFF00"/>
        <bgColor rgb="FFFFFF00"/>
      </patternFill>
    </fill>
    <fill>
      <patternFill patternType="solid">
        <fgColor rgb="FF999999"/>
        <bgColor rgb="FF999999"/>
      </patternFill>
    </fill>
    <fill>
      <patternFill patternType="solid">
        <fgColor rgb="FF000000"/>
        <bgColor rgb="FF000000"/>
      </patternFill>
    </fill>
    <fill>
      <patternFill patternType="solid">
        <fgColor rgb="FFD9D9D9"/>
        <bgColor rgb="FFD9D9D9"/>
      </patternFill>
    </fill>
  </fills>
  <borders count="3">
    <border/>
    <border>
      <left/>
      <right/>
      <top/>
      <bottom/>
    </border>
    <border>
      <left style="thin">
        <color rgb="FFC9D3E0"/>
      </left>
      <right style="thin">
        <color rgb="FFC9D3E0"/>
      </right>
      <top style="thin">
        <color rgb="FFC9D3E0"/>
      </top>
      <bottom style="thin">
        <color rgb="FFC9D3E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0" fillId="0" fontId="1" numFmtId="0" xfId="0" applyAlignment="1" applyFont="1">
      <alignment shrinkToFit="0" vertical="bottom" wrapText="0"/>
    </xf>
    <xf borderId="1" fillId="2" fontId="3" numFmtId="0" xfId="0" applyAlignment="1" applyBorder="1" applyFill="1" applyFont="1">
      <alignment shrinkToFit="0" vertical="top" wrapText="1"/>
    </xf>
    <xf borderId="2" fillId="3" fontId="4" numFmtId="0" xfId="0" applyAlignment="1" applyBorder="1" applyFill="1" applyFont="1">
      <alignment shrinkToFit="0" vertical="bottom" wrapText="0"/>
    </xf>
    <xf borderId="2" fillId="3" fontId="4" numFmtId="0" xfId="0" applyAlignment="1" applyBorder="1" applyFill="1" applyFont="1">
      <alignment shrinkToFit="0" vertical="center" wrapText="1"/>
    </xf>
    <xf borderId="2" fillId="4" fontId="2" numFmtId="0" xfId="0" applyAlignment="1" applyBorder="1" applyFill="1" applyFont="1">
      <alignment shrinkToFit="0" vertical="top" wrapText="1"/>
    </xf>
    <xf borderId="2" fillId="0" fontId="2" numFmtId="0" xfId="0" applyAlignment="1" applyBorder="1" applyFont="1">
      <alignment shrinkToFit="0" vertical="top" wrapText="1"/>
    </xf>
    <xf borderId="2" fillId="0" fontId="2" numFmtId="0" xfId="0" applyAlignment="1" applyBorder="1" applyFont="1">
      <alignment shrinkToFit="0" vertical="bottom" wrapText="0"/>
    </xf>
    <xf borderId="2" fillId="4" fontId="2" numFmtId="0" xfId="0" applyAlignment="1" applyBorder="1" applyFill="1" applyFont="1">
      <alignment readingOrder="0" shrinkToFit="0" vertical="top" wrapText="1"/>
    </xf>
    <xf borderId="2" fillId="0" fontId="2" numFmtId="0" xfId="0" applyAlignment="1" applyBorder="1" applyFont="1">
      <alignment readingOrder="0" shrinkToFit="0" vertical="top" wrapText="1"/>
    </xf>
    <xf borderId="2" fillId="0" fontId="3" numFmtId="0" xfId="0" applyAlignment="1" applyBorder="1" applyFont="1">
      <alignment shrinkToFit="0" vertical="bottom" wrapText="0"/>
    </xf>
    <xf borderId="0" fillId="0" fontId="2" numFmtId="0" xfId="0" applyAlignment="1" applyFont="1">
      <alignment shrinkToFit="0" vertical="bottom" wrapText="0"/>
    </xf>
    <xf borderId="0" fillId="0" fontId="5" numFmtId="0" xfId="0" applyAlignment="1" applyFont="1">
      <alignment shrinkToFit="0" vertical="bottom" wrapText="0"/>
    </xf>
    <xf borderId="0" fillId="0" fontId="3" numFmtId="0" xfId="0" applyAlignment="1" applyFont="1">
      <alignment shrinkToFit="0" vertical="bottom" wrapText="0"/>
    </xf>
    <xf borderId="0" fillId="0" fontId="5" numFmtId="164" xfId="0" applyAlignment="1" applyFont="1" applyNumberFormat="1">
      <alignment shrinkToFit="0" vertical="bottom" wrapText="0"/>
    </xf>
    <xf borderId="0" fillId="0" fontId="6" numFmtId="0" xfId="0" applyAlignment="1" applyFont="1">
      <alignment readingOrder="0" shrinkToFit="0" vertical="bottom" wrapText="0"/>
    </xf>
    <xf borderId="0" fillId="0" fontId="3" numFmtId="165" xfId="0" applyAlignment="1" applyFont="1" applyNumberFormat="1">
      <alignment shrinkToFit="0" vertical="bottom" wrapText="0"/>
    </xf>
    <xf borderId="0" fillId="0" fontId="5" numFmtId="0" xfId="0" applyAlignment="1" applyFont="1">
      <alignment readingOrder="0" shrinkToFit="0" vertical="bottom" wrapText="0"/>
    </xf>
    <xf borderId="0" fillId="0" fontId="5" numFmtId="164" xfId="0" applyAlignment="1" applyFont="1" applyNumberFormat="1">
      <alignment readingOrder="0" shrinkToFit="0" vertical="bottom" wrapText="0"/>
    </xf>
    <xf borderId="0" fillId="0" fontId="6" numFmtId="0" xfId="0" applyAlignment="1" applyFont="1">
      <alignment shrinkToFit="0" vertical="bottom" wrapText="0"/>
    </xf>
    <xf borderId="0" fillId="0" fontId="7" numFmtId="0" xfId="0" applyFont="1"/>
    <xf borderId="2" fillId="5" fontId="2" numFmtId="0" xfId="0" applyAlignment="1" applyBorder="1" applyFill="1" applyFont="1">
      <alignment shrinkToFit="0" vertical="top" wrapText="1"/>
    </xf>
    <xf borderId="2" fillId="5" fontId="2" numFmtId="0" xfId="0" applyAlignment="1" applyBorder="1" applyFill="1" applyFont="1">
      <alignment readingOrder="0" shrinkToFit="0" vertical="top" wrapText="1"/>
    </xf>
    <xf borderId="0" fillId="5" fontId="7" numFmtId="0" xfId="0" applyFill="1" applyFont="1"/>
    <xf borderId="2" fillId="6" fontId="2" numFmtId="0" xfId="0" applyAlignment="1" applyBorder="1" applyFill="1" applyFont="1">
      <alignment shrinkToFit="0" vertical="top" wrapText="1"/>
    </xf>
    <xf borderId="2" fillId="6" fontId="2" numFmtId="0" xfId="0" applyAlignment="1" applyBorder="1" applyFill="1" applyFont="1">
      <alignment readingOrder="0" shrinkToFit="0" vertical="top" wrapText="1"/>
    </xf>
    <xf borderId="0" fillId="6" fontId="7" numFmtId="0" xfId="0" applyFill="1" applyFont="1"/>
    <xf borderId="2" fillId="7" fontId="2" numFmtId="0" xfId="0" applyAlignment="1" applyBorder="1" applyFill="1" applyFont="1">
      <alignment shrinkToFit="0" vertical="top" wrapText="1"/>
    </xf>
    <xf borderId="0" fillId="7" fontId="7" numFmtId="0" xfId="0" applyFill="1" applyFont="1"/>
    <xf borderId="2" fillId="7" fontId="2" numFmtId="0" xfId="0" applyAlignment="1" applyBorder="1" applyFill="1" applyFont="1">
      <alignment readingOrder="0" shrinkToFit="0" vertical="top" wrapText="1"/>
    </xf>
    <xf borderId="2" fillId="8" fontId="2" numFmtId="0" xfId="0" applyAlignment="1" applyBorder="1" applyFill="1" applyFont="1">
      <alignment shrinkToFit="0" vertical="top" wrapText="1"/>
    </xf>
    <xf borderId="0" fillId="8" fontId="7" numFmtId="0" xfId="0" applyFill="1" applyFont="1"/>
    <xf borderId="2" fillId="9" fontId="2" numFmtId="0" xfId="0" applyAlignment="1" applyBorder="1" applyFill="1" applyFont="1">
      <alignmen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38100</xdr:colOff>
      <xdr:row>222</xdr:row>
      <xdr:rowOff>171450</xdr:rowOff>
    </xdr:from>
    <xdr:ext cx="1400175" cy="18669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9525</xdr:colOff>
      <xdr:row>20</xdr:row>
      <xdr:rowOff>200025</xdr:rowOff>
    </xdr:from>
    <xdr:ext cx="6696075" cy="86677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8.0"/>
    <col customWidth="1" min="2" max="6" width="8.71"/>
  </cols>
  <sheetData>
    <row r="1" ht="15.0" customHeight="1">
      <c r="A1" s="1" t="s">
        <v>0</v>
      </c>
    </row>
    <row r="2" ht="15.0" customHeight="1">
      <c r="A2" s="2"/>
    </row>
    <row r="3" ht="30.0" customHeight="1">
      <c r="A3" s="2" t="s">
        <v>1</v>
      </c>
    </row>
    <row r="4" ht="15.0" customHeight="1">
      <c r="A4" s="2"/>
    </row>
    <row r="5" ht="15.0" customHeight="1">
      <c r="A5" s="4" t="s">
        <v>4</v>
      </c>
    </row>
    <row r="6" ht="15.0" customHeight="1">
      <c r="A6" s="2" t="s">
        <v>8</v>
      </c>
    </row>
    <row r="7" ht="30.0" customHeight="1">
      <c r="A7" s="2" t="s">
        <v>9</v>
      </c>
    </row>
    <row r="8" ht="30.0" customHeight="1">
      <c r="A8" s="2" t="s">
        <v>10</v>
      </c>
    </row>
    <row r="9" ht="15.0" customHeight="1">
      <c r="A9" s="2" t="s">
        <v>11</v>
      </c>
    </row>
    <row r="10" ht="30.0" customHeight="1">
      <c r="A10" s="2" t="s">
        <v>12</v>
      </c>
    </row>
    <row r="11" ht="15.0" customHeight="1">
      <c r="A11" s="2"/>
    </row>
    <row r="12" ht="15.0" customHeight="1">
      <c r="A12" s="4" t="s">
        <v>15</v>
      </c>
    </row>
    <row r="13" ht="15.0" customHeight="1">
      <c r="A13" s="2" t="s">
        <v>16</v>
      </c>
    </row>
    <row r="14" ht="15.0" customHeight="1">
      <c r="A14" s="2" t="s">
        <v>17</v>
      </c>
    </row>
    <row r="15" ht="15.0" customHeight="1">
      <c r="A15" s="2" t="s">
        <v>19</v>
      </c>
    </row>
    <row r="16" ht="15.0" customHeight="1">
      <c r="A16" s="2"/>
    </row>
    <row r="17" ht="15.0" customHeight="1">
      <c r="A17" s="4" t="s">
        <v>20</v>
      </c>
    </row>
    <row r="18" ht="30.0" customHeight="1">
      <c r="A18" s="2" t="s">
        <v>22</v>
      </c>
    </row>
    <row r="19" ht="15.0" customHeight="1">
      <c r="A19" s="2" t="s">
        <v>24</v>
      </c>
    </row>
    <row r="20" ht="30.0" customHeight="1">
      <c r="A20" s="2" t="s">
        <v>26</v>
      </c>
    </row>
    <row r="21" ht="15.0" customHeight="1">
      <c r="A21" s="2" t="s">
        <v>30</v>
      </c>
    </row>
    <row r="22" ht="15.0" customHeight="1">
      <c r="A22" s="2"/>
    </row>
    <row r="23" ht="15.0" customHeight="1">
      <c r="A23" s="4" t="s">
        <v>32</v>
      </c>
    </row>
    <row r="24" ht="30.0" customHeight="1">
      <c r="A24" s="2" t="s">
        <v>34</v>
      </c>
    </row>
    <row r="25" ht="15.0" customHeight="1">
      <c r="A25" s="2"/>
    </row>
    <row r="26" ht="15.0" customHeight="1">
      <c r="A26" s="4" t="s">
        <v>36</v>
      </c>
    </row>
    <row r="27" ht="30.0" customHeight="1">
      <c r="A27" s="2" t="s">
        <v>39</v>
      </c>
    </row>
    <row r="28" ht="30.0" customHeight="1">
      <c r="A28" s="2" t="s">
        <v>42</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0"/>
    <col customWidth="1" min="2" max="2" width="16.0"/>
    <col customWidth="1" min="3" max="3" width="18.0"/>
    <col customWidth="1" min="4" max="4" width="12.0"/>
    <col customWidth="1" min="5" max="6" width="8.71"/>
  </cols>
  <sheetData>
    <row r="1">
      <c r="A1" s="3" t="s">
        <v>3</v>
      </c>
    </row>
    <row r="3">
      <c r="A3" s="5" t="s">
        <v>6</v>
      </c>
      <c r="B3" s="5" t="s">
        <v>37</v>
      </c>
      <c r="C3" s="5" t="s">
        <v>43</v>
      </c>
      <c r="D3" s="5" t="s">
        <v>46</v>
      </c>
    </row>
    <row r="4">
      <c r="A4" s="9" t="s">
        <v>51</v>
      </c>
      <c r="B4" s="9">
        <f>COUNTA('Pruebas funcionales'!$K$2:$K$257)</f>
        <v>256</v>
      </c>
      <c r="C4" s="9">
        <f>COUNTA('Pruebas no funcionales'!$K$2:$K$68)</f>
        <v>67</v>
      </c>
      <c r="D4" s="12">
        <f t="shared" ref="D4:D12" si="1">B4+C4</f>
        <v>323</v>
      </c>
    </row>
    <row r="5">
      <c r="A5" s="9" t="s">
        <v>142</v>
      </c>
      <c r="B5" s="9">
        <f>COUNTIF('Pruebas funcionales'!$K$2:$K$257,"Pendiente")</f>
        <v>52</v>
      </c>
      <c r="C5" s="9">
        <f>COUNTIF('Pruebas no funcionales'!$K$2:$K$68,"Pendiente")</f>
        <v>67</v>
      </c>
      <c r="D5" s="12">
        <f t="shared" si="1"/>
        <v>119</v>
      </c>
    </row>
    <row r="6">
      <c r="A6" s="9" t="s">
        <v>154</v>
      </c>
      <c r="B6" s="9">
        <f>COUNTIF('Pruebas funcionales'!$K$2:$K$257,"Aprobado")</f>
        <v>167</v>
      </c>
      <c r="C6" s="9">
        <f>COUNTIF('Pruebas no funcionales'!$K$2:$K$68,"Aprobado")</f>
        <v>0</v>
      </c>
      <c r="D6" s="12">
        <f t="shared" si="1"/>
        <v>167</v>
      </c>
    </row>
    <row r="7">
      <c r="A7" s="9" t="s">
        <v>166</v>
      </c>
      <c r="B7" s="9">
        <f>COUNTIF('Pruebas funcionales'!$K$2:$K$257,"Fallido")</f>
        <v>29</v>
      </c>
      <c r="C7" s="9">
        <f>COUNTIF('Pruebas no funcionales'!$K$2:$K$68,"Fallido")</f>
        <v>0</v>
      </c>
      <c r="D7" s="12">
        <f t="shared" si="1"/>
        <v>29</v>
      </c>
    </row>
    <row r="8">
      <c r="A8" s="9" t="s">
        <v>174</v>
      </c>
      <c r="B8" s="9">
        <f>COUNTIF('Pruebas funcionales'!$K$2:$K$257,"Bloqueado")</f>
        <v>2</v>
      </c>
      <c r="C8" s="9">
        <f>COUNTIF('Pruebas no funcionales'!$K$2:$K$68,"Bloqueado")</f>
        <v>0</v>
      </c>
      <c r="D8" s="12">
        <f t="shared" si="1"/>
        <v>2</v>
      </c>
    </row>
    <row r="9">
      <c r="A9" s="9" t="s">
        <v>189</v>
      </c>
      <c r="B9" s="9">
        <f>COUNTIF('Pruebas funcionales'!$K$2:$K$257,"No aplica")</f>
        <v>6</v>
      </c>
      <c r="C9" s="9">
        <f>COUNTIF('Pruebas no funcionales'!$K$2:$K$68,"No aplica")</f>
        <v>0</v>
      </c>
      <c r="D9" s="12">
        <f t="shared" si="1"/>
        <v>6</v>
      </c>
    </row>
    <row r="10">
      <c r="A10" s="9" t="s">
        <v>198</v>
      </c>
      <c r="B10" s="9">
        <f>COUNTIFS('Pruebas funcionales'!$I$2:$I$257,"Bloqueante",'Pruebas funcionales'!$K$2:$K$257,"Fallido")</f>
        <v>2</v>
      </c>
      <c r="C10" s="9">
        <f>COUNTIFS('Pruebas no funcionales'!$I$2:$I$68,"Bloqueante",'Pruebas no funcionales'!$K$2:$K$68,"Fallido")</f>
        <v>0</v>
      </c>
      <c r="D10" s="12">
        <f t="shared" si="1"/>
        <v>2</v>
      </c>
    </row>
    <row r="11">
      <c r="A11" s="9" t="s">
        <v>236</v>
      </c>
      <c r="B11" s="9">
        <f>COUNTIFS('Pruebas funcionales'!$I$2:$I$257,"Crítico",'Pruebas funcionales'!$K$2:$K$257,"Fallido")</f>
        <v>18</v>
      </c>
      <c r="C11" s="9">
        <f>COUNTIFS('Pruebas no funcionales'!$I$2:$I$68,"Crítico",'Pruebas no funcionales'!$K$2:$K$68,"Fallido")</f>
        <v>0</v>
      </c>
      <c r="D11" s="12">
        <f t="shared" si="1"/>
        <v>18</v>
      </c>
    </row>
    <row r="12">
      <c r="A12" s="9" t="s">
        <v>267</v>
      </c>
      <c r="B12" s="9">
        <f>COUNTIFS('Pruebas funcionales'!$I$2:$I$257,"Mayor",'Pruebas funcionales'!$K$2:$K$257,"Fallido")</f>
        <v>9</v>
      </c>
      <c r="C12" s="9">
        <f>COUNTIFS('Pruebas no funcionales'!$I$2:$I$68,"Mayor",'Pruebas no funcionales'!$K$2:$K$68,"Fallido")</f>
        <v>0</v>
      </c>
      <c r="D12" s="12">
        <f t="shared" si="1"/>
        <v>9</v>
      </c>
    </row>
    <row r="14">
      <c r="A14" s="15" t="s">
        <v>297</v>
      </c>
      <c r="B14" s="18">
        <f>IF($D$4=0,0,($D$4-$D$5)/$D$4)</f>
        <v>0.6315789474</v>
      </c>
    </row>
    <row r="16">
      <c r="A16" s="15" t="s">
        <v>334</v>
      </c>
      <c r="B16" s="15" t="str">
        <f>IF(AND($D$5=0,$D$10=0,$D$11=0),"APROBADO — listo para producción","NO APROBADO")</f>
        <v>NO APROBADO</v>
      </c>
    </row>
    <row r="17">
      <c r="A17" s="13" t="s">
        <v>364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0"/>
    <col customWidth="1" min="2" max="2" width="32.0"/>
    <col customWidth="1" min="3" max="3" width="74.0"/>
    <col customWidth="1" min="4" max="6" width="8.71"/>
  </cols>
  <sheetData>
    <row r="1">
      <c r="A1" s="3" t="s">
        <v>2</v>
      </c>
    </row>
    <row r="3">
      <c r="A3" s="5" t="s">
        <v>5</v>
      </c>
      <c r="B3" s="5" t="s">
        <v>13</v>
      </c>
      <c r="C3" s="5" t="s">
        <v>14</v>
      </c>
    </row>
    <row r="4">
      <c r="A4" s="7" t="s">
        <v>18</v>
      </c>
      <c r="B4" s="7" t="s">
        <v>27</v>
      </c>
      <c r="C4" s="7" t="s">
        <v>29</v>
      </c>
    </row>
    <row r="5">
      <c r="A5" s="8" t="s">
        <v>18</v>
      </c>
      <c r="B5" s="8" t="s">
        <v>41</v>
      </c>
      <c r="C5" s="8" t="s">
        <v>44</v>
      </c>
    </row>
    <row r="6">
      <c r="A6" s="7" t="s">
        <v>18</v>
      </c>
      <c r="B6" s="7" t="s">
        <v>47</v>
      </c>
      <c r="C6" s="7" t="s">
        <v>29</v>
      </c>
    </row>
    <row r="7">
      <c r="A7" s="8" t="s">
        <v>18</v>
      </c>
      <c r="B7" s="8" t="s">
        <v>50</v>
      </c>
      <c r="C7" s="8" t="s">
        <v>52</v>
      </c>
    </row>
    <row r="8">
      <c r="A8" s="7" t="s">
        <v>18</v>
      </c>
      <c r="B8" s="7" t="s">
        <v>53</v>
      </c>
      <c r="C8" s="7" t="s">
        <v>29</v>
      </c>
    </row>
    <row r="9">
      <c r="A9" s="8" t="s">
        <v>18</v>
      </c>
      <c r="B9" s="8" t="s">
        <v>54</v>
      </c>
      <c r="C9" s="8" t="s">
        <v>55</v>
      </c>
    </row>
    <row r="10">
      <c r="A10" s="7" t="s">
        <v>18</v>
      </c>
      <c r="B10" s="7" t="s">
        <v>57</v>
      </c>
      <c r="C10" s="7" t="s">
        <v>58</v>
      </c>
    </row>
    <row r="11">
      <c r="A11" s="8" t="s">
        <v>60</v>
      </c>
      <c r="B11" s="8" t="s">
        <v>61</v>
      </c>
      <c r="C11" s="8" t="s">
        <v>63</v>
      </c>
    </row>
    <row r="12">
      <c r="A12" s="7" t="s">
        <v>60</v>
      </c>
      <c r="B12" s="7" t="s">
        <v>66</v>
      </c>
      <c r="C12" s="7" t="s">
        <v>68</v>
      </c>
    </row>
    <row r="13">
      <c r="A13" s="8" t="s">
        <v>60</v>
      </c>
      <c r="B13" s="8" t="s">
        <v>72</v>
      </c>
      <c r="C13" s="8" t="s">
        <v>74</v>
      </c>
    </row>
    <row r="14">
      <c r="A14" s="7" t="s">
        <v>75</v>
      </c>
      <c r="B14" s="7" t="s">
        <v>76</v>
      </c>
      <c r="C14" s="7" t="s">
        <v>77</v>
      </c>
    </row>
    <row r="15">
      <c r="A15" s="8" t="s">
        <v>75</v>
      </c>
      <c r="B15" s="8" t="s">
        <v>78</v>
      </c>
      <c r="C15" s="8" t="s">
        <v>79</v>
      </c>
    </row>
    <row r="16">
      <c r="A16" s="7" t="s">
        <v>80</v>
      </c>
      <c r="B16" s="7" t="s">
        <v>81</v>
      </c>
      <c r="C16" s="7" t="s">
        <v>82</v>
      </c>
    </row>
    <row r="17">
      <c r="A17" s="8" t="s">
        <v>80</v>
      </c>
      <c r="B17" s="8" t="s">
        <v>83</v>
      </c>
      <c r="C17" s="8" t="s">
        <v>84</v>
      </c>
    </row>
    <row r="18">
      <c r="A18" s="7" t="s">
        <v>80</v>
      </c>
      <c r="B18" s="7" t="s">
        <v>85</v>
      </c>
      <c r="C18" s="7" t="s">
        <v>86</v>
      </c>
    </row>
    <row r="19">
      <c r="A19" s="8" t="s">
        <v>80</v>
      </c>
      <c r="B19" s="8" t="s">
        <v>88</v>
      </c>
      <c r="C19" s="8" t="s">
        <v>89</v>
      </c>
    </row>
    <row r="20">
      <c r="A20" s="7" t="s">
        <v>90</v>
      </c>
      <c r="B20" s="7" t="s">
        <v>91</v>
      </c>
      <c r="C20" s="7" t="s">
        <v>92</v>
      </c>
    </row>
    <row r="21" ht="15.75" customHeight="1">
      <c r="A21" s="8" t="s">
        <v>90</v>
      </c>
      <c r="B21" s="8" t="s">
        <v>93</v>
      </c>
      <c r="C21" s="8" t="s">
        <v>94</v>
      </c>
    </row>
    <row r="22" ht="15.75" customHeight="1">
      <c r="A22" s="7" t="s">
        <v>95</v>
      </c>
      <c r="B22" s="7" t="s">
        <v>96</v>
      </c>
      <c r="C22" s="7" t="s">
        <v>97</v>
      </c>
    </row>
    <row r="23" ht="15.75" customHeight="1">
      <c r="A23" s="8" t="s">
        <v>95</v>
      </c>
      <c r="B23" s="8" t="s">
        <v>99</v>
      </c>
      <c r="C23" s="8" t="s">
        <v>100</v>
      </c>
    </row>
    <row r="24" ht="15.75" customHeight="1">
      <c r="A24" s="7" t="s">
        <v>101</v>
      </c>
      <c r="B24" s="7" t="s">
        <v>102</v>
      </c>
      <c r="C24" s="7" t="s">
        <v>103</v>
      </c>
    </row>
    <row r="25" ht="15.75" customHeight="1">
      <c r="A25" s="8" t="s">
        <v>101</v>
      </c>
      <c r="B25" s="8" t="s">
        <v>104</v>
      </c>
      <c r="C25" s="8" t="s">
        <v>106</v>
      </c>
    </row>
    <row r="26" ht="15.75" customHeight="1">
      <c r="A26" s="7" t="s">
        <v>107</v>
      </c>
      <c r="B26" s="7" t="s">
        <v>108</v>
      </c>
      <c r="C26" s="7" t="s">
        <v>109</v>
      </c>
    </row>
    <row r="27" ht="15.75" customHeight="1">
      <c r="A27" s="8" t="s">
        <v>110</v>
      </c>
      <c r="B27" s="8" t="s">
        <v>111</v>
      </c>
      <c r="C27" s="8" t="s">
        <v>113</v>
      </c>
    </row>
    <row r="28" ht="15.75" customHeight="1">
      <c r="A28" s="7" t="s">
        <v>110</v>
      </c>
      <c r="B28" s="7" t="s">
        <v>115</v>
      </c>
      <c r="C28" s="7" t="s">
        <v>117</v>
      </c>
    </row>
    <row r="29" ht="15.75" customHeight="1">
      <c r="A29" s="8" t="s">
        <v>118</v>
      </c>
      <c r="B29" s="8" t="s">
        <v>120</v>
      </c>
      <c r="C29" s="8" t="s">
        <v>121</v>
      </c>
    </row>
    <row r="30" ht="15.75" customHeight="1">
      <c r="A30" s="7" t="s">
        <v>118</v>
      </c>
      <c r="B30" s="7" t="s">
        <v>123</v>
      </c>
      <c r="C30" s="7" t="s">
        <v>124</v>
      </c>
    </row>
    <row r="31" ht="15.75" customHeight="1">
      <c r="A31" s="8" t="s">
        <v>118</v>
      </c>
      <c r="B31" s="8" t="s">
        <v>126</v>
      </c>
      <c r="C31" s="8" t="s">
        <v>127</v>
      </c>
    </row>
    <row r="32" ht="15.75" customHeight="1">
      <c r="A32" s="7" t="s">
        <v>118</v>
      </c>
      <c r="B32" s="7" t="s">
        <v>128</v>
      </c>
      <c r="C32" s="7" t="s">
        <v>129</v>
      </c>
    </row>
    <row r="33" ht="15.75" customHeight="1">
      <c r="A33" s="8" t="s">
        <v>130</v>
      </c>
      <c r="B33" s="8" t="s">
        <v>131</v>
      </c>
      <c r="C33" s="8" t="s">
        <v>132</v>
      </c>
    </row>
    <row r="34" ht="15.75" customHeight="1">
      <c r="A34" s="7" t="s">
        <v>130</v>
      </c>
      <c r="B34" s="7" t="s">
        <v>133</v>
      </c>
      <c r="C34" s="7" t="s">
        <v>134</v>
      </c>
    </row>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9.0"/>
    <col customWidth="1" min="2" max="2" width="11.0"/>
    <col customWidth="1" min="3" max="3" width="13.14"/>
    <col customWidth="1" min="4" max="4" width="34.0"/>
    <col customWidth="1" min="5" max="5" width="28.0"/>
    <col customWidth="1" min="6" max="6" width="44.0"/>
    <col customWidth="1" min="7" max="7" width="20.0"/>
    <col customWidth="1" min="8" max="8" width="44.0"/>
    <col customWidth="1" min="9" max="9" width="15.0"/>
    <col customWidth="1" min="10" max="11" width="13.0"/>
    <col customWidth="1" min="12" max="12" width="22.0"/>
    <col customWidth="1" min="13" max="13" width="28.0"/>
  </cols>
  <sheetData>
    <row r="1">
      <c r="A1" s="6" t="s">
        <v>7</v>
      </c>
      <c r="B1" s="6" t="s">
        <v>21</v>
      </c>
      <c r="C1" s="6" t="s">
        <v>23</v>
      </c>
      <c r="D1" s="6" t="s">
        <v>25</v>
      </c>
      <c r="E1" s="6" t="s">
        <v>28</v>
      </c>
      <c r="F1" s="6" t="s">
        <v>31</v>
      </c>
      <c r="G1" s="6" t="s">
        <v>33</v>
      </c>
      <c r="H1" s="6" t="s">
        <v>35</v>
      </c>
      <c r="I1" s="6" t="s">
        <v>38</v>
      </c>
      <c r="J1" s="6" t="s">
        <v>40</v>
      </c>
      <c r="K1" s="6" t="s">
        <v>45</v>
      </c>
      <c r="L1" s="6" t="s">
        <v>48</v>
      </c>
      <c r="M1" s="6" t="s">
        <v>49</v>
      </c>
    </row>
    <row r="2">
      <c r="A2" s="7" t="s">
        <v>56</v>
      </c>
      <c r="B2" s="7" t="s">
        <v>59</v>
      </c>
      <c r="C2" s="7" t="s">
        <v>62</v>
      </c>
      <c r="D2" s="7" t="s">
        <v>64</v>
      </c>
      <c r="E2" s="7" t="s">
        <v>65</v>
      </c>
      <c r="F2" s="7" t="s">
        <v>67</v>
      </c>
      <c r="G2" s="7" t="s">
        <v>69</v>
      </c>
      <c r="H2" s="7" t="s">
        <v>70</v>
      </c>
      <c r="I2" s="7" t="s">
        <v>71</v>
      </c>
      <c r="J2" s="7" t="s">
        <v>73</v>
      </c>
      <c r="K2" s="10" t="s">
        <v>87</v>
      </c>
      <c r="L2" s="7"/>
      <c r="M2" s="7" t="s">
        <v>98</v>
      </c>
    </row>
    <row r="3">
      <c r="A3" s="8" t="s">
        <v>105</v>
      </c>
      <c r="B3" s="8" t="s">
        <v>59</v>
      </c>
      <c r="C3" s="8" t="s">
        <v>62</v>
      </c>
      <c r="D3" s="8" t="s">
        <v>112</v>
      </c>
      <c r="E3" s="8" t="s">
        <v>114</v>
      </c>
      <c r="F3" s="8" t="s">
        <v>116</v>
      </c>
      <c r="G3" s="8" t="s">
        <v>119</v>
      </c>
      <c r="H3" s="8" t="s">
        <v>122</v>
      </c>
      <c r="I3" s="8" t="s">
        <v>125</v>
      </c>
      <c r="J3" s="8" t="s">
        <v>73</v>
      </c>
      <c r="K3" s="11" t="s">
        <v>87</v>
      </c>
      <c r="L3" s="8"/>
      <c r="M3" s="8" t="s">
        <v>135</v>
      </c>
    </row>
    <row r="4">
      <c r="A4" s="7" t="s">
        <v>136</v>
      </c>
      <c r="B4" s="7" t="s">
        <v>59</v>
      </c>
      <c r="C4" s="7" t="s">
        <v>62</v>
      </c>
      <c r="D4" s="7" t="s">
        <v>137</v>
      </c>
      <c r="E4" s="7" t="s">
        <v>138</v>
      </c>
      <c r="F4" s="7" t="s">
        <v>139</v>
      </c>
      <c r="G4" s="7" t="s">
        <v>140</v>
      </c>
      <c r="H4" s="7" t="s">
        <v>141</v>
      </c>
      <c r="I4" s="7" t="s">
        <v>125</v>
      </c>
      <c r="J4" s="7" t="s">
        <v>73</v>
      </c>
      <c r="K4" s="10" t="s">
        <v>87</v>
      </c>
      <c r="L4" s="7"/>
      <c r="M4" s="7"/>
    </row>
    <row r="5">
      <c r="A5" s="8" t="s">
        <v>143</v>
      </c>
      <c r="B5" s="8" t="s">
        <v>59</v>
      </c>
      <c r="C5" s="8" t="s">
        <v>62</v>
      </c>
      <c r="D5" s="8" t="s">
        <v>144</v>
      </c>
      <c r="E5" s="8" t="s">
        <v>145</v>
      </c>
      <c r="F5" s="8" t="s">
        <v>146</v>
      </c>
      <c r="G5" s="8" t="s">
        <v>119</v>
      </c>
      <c r="H5" s="8" t="s">
        <v>147</v>
      </c>
      <c r="I5" s="8" t="s">
        <v>125</v>
      </c>
      <c r="J5" s="8" t="s">
        <v>73</v>
      </c>
      <c r="K5" s="11" t="s">
        <v>87</v>
      </c>
      <c r="L5" s="8"/>
      <c r="M5" s="8"/>
    </row>
    <row r="6">
      <c r="A6" s="7" t="s">
        <v>148</v>
      </c>
      <c r="B6" s="7" t="s">
        <v>59</v>
      </c>
      <c r="C6" s="7" t="s">
        <v>62</v>
      </c>
      <c r="D6" s="7" t="s">
        <v>149</v>
      </c>
      <c r="E6" s="7" t="s">
        <v>150</v>
      </c>
      <c r="F6" s="7" t="s">
        <v>151</v>
      </c>
      <c r="G6" s="7" t="s">
        <v>119</v>
      </c>
      <c r="H6" s="7" t="s">
        <v>152</v>
      </c>
      <c r="I6" s="7" t="s">
        <v>71</v>
      </c>
      <c r="J6" s="7" t="s">
        <v>73</v>
      </c>
      <c r="K6" s="10" t="s">
        <v>87</v>
      </c>
      <c r="L6" s="7"/>
      <c r="M6" s="7"/>
    </row>
    <row r="7">
      <c r="A7" s="8" t="s">
        <v>153</v>
      </c>
      <c r="B7" s="8" t="s">
        <v>59</v>
      </c>
      <c r="C7" s="8" t="s">
        <v>62</v>
      </c>
      <c r="D7" s="8" t="s">
        <v>155</v>
      </c>
      <c r="E7" s="8" t="s">
        <v>156</v>
      </c>
      <c r="F7" s="8" t="s">
        <v>157</v>
      </c>
      <c r="G7" s="8" t="s">
        <v>158</v>
      </c>
      <c r="H7" s="8" t="s">
        <v>159</v>
      </c>
      <c r="I7" s="8" t="s">
        <v>71</v>
      </c>
      <c r="J7" s="8" t="s">
        <v>73</v>
      </c>
      <c r="K7" s="11" t="s">
        <v>87</v>
      </c>
      <c r="L7" s="8"/>
      <c r="M7" s="8"/>
    </row>
    <row r="8">
      <c r="A8" s="7" t="s">
        <v>160</v>
      </c>
      <c r="B8" s="7" t="s">
        <v>59</v>
      </c>
      <c r="C8" s="7" t="s">
        <v>62</v>
      </c>
      <c r="D8" s="7" t="s">
        <v>161</v>
      </c>
      <c r="E8" s="7" t="s">
        <v>119</v>
      </c>
      <c r="F8" s="7" t="s">
        <v>162</v>
      </c>
      <c r="G8" s="7" t="s">
        <v>163</v>
      </c>
      <c r="H8" s="7" t="s">
        <v>164</v>
      </c>
      <c r="I8" s="7" t="s">
        <v>165</v>
      </c>
      <c r="J8" s="7" t="s">
        <v>167</v>
      </c>
      <c r="K8" s="7" t="s">
        <v>168</v>
      </c>
      <c r="L8" s="7"/>
      <c r="M8" s="7"/>
    </row>
    <row r="9">
      <c r="A9" s="8" t="s">
        <v>169</v>
      </c>
      <c r="B9" s="8" t="s">
        <v>59</v>
      </c>
      <c r="C9" s="8" t="s">
        <v>62</v>
      </c>
      <c r="D9" s="8" t="s">
        <v>170</v>
      </c>
      <c r="E9" s="8" t="s">
        <v>171</v>
      </c>
      <c r="F9" s="8" t="s">
        <v>172</v>
      </c>
      <c r="G9" s="8" t="s">
        <v>119</v>
      </c>
      <c r="H9" s="8" t="s">
        <v>173</v>
      </c>
      <c r="I9" s="8" t="s">
        <v>125</v>
      </c>
      <c r="J9" s="8" t="s">
        <v>167</v>
      </c>
      <c r="K9" s="8" t="s">
        <v>168</v>
      </c>
      <c r="L9" s="8"/>
      <c r="M9" s="8"/>
    </row>
    <row r="10">
      <c r="A10" s="7" t="s">
        <v>175</v>
      </c>
      <c r="B10" s="7" t="s">
        <v>59</v>
      </c>
      <c r="C10" s="7" t="s">
        <v>62</v>
      </c>
      <c r="D10" s="7" t="s">
        <v>176</v>
      </c>
      <c r="E10" s="7" t="s">
        <v>177</v>
      </c>
      <c r="F10" s="7" t="s">
        <v>178</v>
      </c>
      <c r="G10" s="7" t="s">
        <v>119</v>
      </c>
      <c r="H10" s="7" t="s">
        <v>179</v>
      </c>
      <c r="I10" s="7" t="s">
        <v>125</v>
      </c>
      <c r="J10" s="7" t="s">
        <v>73</v>
      </c>
      <c r="K10" s="10" t="s">
        <v>87</v>
      </c>
      <c r="L10" s="7"/>
      <c r="M10" s="7"/>
    </row>
    <row r="11">
      <c r="A11" s="8" t="s">
        <v>182</v>
      </c>
      <c r="B11" s="8" t="s">
        <v>185</v>
      </c>
      <c r="C11" s="8" t="s">
        <v>188</v>
      </c>
      <c r="D11" s="8" t="s">
        <v>190</v>
      </c>
      <c r="E11" s="8" t="s">
        <v>192</v>
      </c>
      <c r="F11" s="8" t="s">
        <v>193</v>
      </c>
      <c r="G11" s="8" t="s">
        <v>119</v>
      </c>
      <c r="H11" s="8" t="s">
        <v>194</v>
      </c>
      <c r="I11" s="8" t="s">
        <v>71</v>
      </c>
      <c r="J11" s="8" t="s">
        <v>73</v>
      </c>
      <c r="K11" s="8" t="s">
        <v>87</v>
      </c>
      <c r="L11" s="8"/>
      <c r="M11" s="8"/>
    </row>
    <row r="12">
      <c r="A12" s="7" t="s">
        <v>196</v>
      </c>
      <c r="B12" s="7" t="s">
        <v>185</v>
      </c>
      <c r="C12" s="7" t="s">
        <v>188</v>
      </c>
      <c r="D12" s="7" t="s">
        <v>200</v>
      </c>
      <c r="E12" s="7" t="s">
        <v>203</v>
      </c>
      <c r="F12" s="7" t="s">
        <v>204</v>
      </c>
      <c r="G12" s="7" t="s">
        <v>119</v>
      </c>
      <c r="H12" s="7" t="s">
        <v>205</v>
      </c>
      <c r="I12" s="7" t="s">
        <v>71</v>
      </c>
      <c r="J12" s="7" t="s">
        <v>73</v>
      </c>
      <c r="K12" s="7" t="s">
        <v>87</v>
      </c>
      <c r="L12" s="7"/>
      <c r="M12" s="7"/>
    </row>
    <row r="13">
      <c r="A13" s="8" t="s">
        <v>212</v>
      </c>
      <c r="B13" s="8" t="s">
        <v>185</v>
      </c>
      <c r="C13" s="8" t="s">
        <v>188</v>
      </c>
      <c r="D13" s="8" t="s">
        <v>215</v>
      </c>
      <c r="E13" s="8" t="s">
        <v>218</v>
      </c>
      <c r="F13" s="8" t="s">
        <v>204</v>
      </c>
      <c r="G13" s="8" t="s">
        <v>222</v>
      </c>
      <c r="H13" s="8" t="s">
        <v>223</v>
      </c>
      <c r="I13" s="8" t="s">
        <v>125</v>
      </c>
      <c r="J13" s="8" t="s">
        <v>73</v>
      </c>
      <c r="K13" s="8" t="s">
        <v>87</v>
      </c>
      <c r="L13" s="8"/>
      <c r="M13" s="8"/>
    </row>
    <row r="14">
      <c r="A14" s="7" t="s">
        <v>229</v>
      </c>
      <c r="B14" s="7" t="s">
        <v>185</v>
      </c>
      <c r="C14" s="7" t="s">
        <v>188</v>
      </c>
      <c r="D14" s="7" t="s">
        <v>233</v>
      </c>
      <c r="E14" s="7" t="s">
        <v>235</v>
      </c>
      <c r="F14" s="7" t="s">
        <v>238</v>
      </c>
      <c r="G14" s="7" t="s">
        <v>54</v>
      </c>
      <c r="H14" s="7" t="s">
        <v>239</v>
      </c>
      <c r="I14" s="7" t="s">
        <v>125</v>
      </c>
      <c r="J14" s="7" t="s">
        <v>73</v>
      </c>
      <c r="K14" s="7" t="s">
        <v>87</v>
      </c>
      <c r="L14" s="7"/>
      <c r="M14" s="7"/>
    </row>
    <row r="15">
      <c r="A15" s="8" t="s">
        <v>245</v>
      </c>
      <c r="B15" s="8" t="s">
        <v>185</v>
      </c>
      <c r="C15" s="8" t="s">
        <v>188</v>
      </c>
      <c r="D15" s="8" t="s">
        <v>249</v>
      </c>
      <c r="E15" s="8" t="s">
        <v>251</v>
      </c>
      <c r="F15" s="8" t="s">
        <v>253</v>
      </c>
      <c r="G15" s="8" t="s">
        <v>119</v>
      </c>
      <c r="H15" s="8" t="s">
        <v>255</v>
      </c>
      <c r="I15" s="8" t="s">
        <v>71</v>
      </c>
      <c r="J15" s="8" t="s">
        <v>73</v>
      </c>
      <c r="K15" s="8" t="s">
        <v>87</v>
      </c>
      <c r="L15" s="8"/>
      <c r="M15" s="8"/>
    </row>
    <row r="16">
      <c r="A16" s="7" t="s">
        <v>264</v>
      </c>
      <c r="B16" s="7" t="s">
        <v>185</v>
      </c>
      <c r="C16" s="7" t="s">
        <v>188</v>
      </c>
      <c r="D16" s="7" t="s">
        <v>268</v>
      </c>
      <c r="E16" s="7" t="s">
        <v>251</v>
      </c>
      <c r="F16" s="7" t="s">
        <v>272</v>
      </c>
      <c r="G16" s="7" t="s">
        <v>119</v>
      </c>
      <c r="H16" s="7" t="s">
        <v>275</v>
      </c>
      <c r="I16" s="7" t="s">
        <v>71</v>
      </c>
      <c r="J16" s="7" t="s">
        <v>73</v>
      </c>
      <c r="K16" s="7" t="s">
        <v>87</v>
      </c>
      <c r="L16" s="7"/>
      <c r="M16" s="7" t="s">
        <v>280</v>
      </c>
    </row>
    <row r="17">
      <c r="A17" s="8" t="s">
        <v>284</v>
      </c>
      <c r="B17" s="8" t="s">
        <v>185</v>
      </c>
      <c r="C17" s="8" t="s">
        <v>188</v>
      </c>
      <c r="D17" s="8" t="s">
        <v>286</v>
      </c>
      <c r="E17" s="8" t="s">
        <v>288</v>
      </c>
      <c r="F17" s="8" t="s">
        <v>291</v>
      </c>
      <c r="G17" s="8" t="s">
        <v>27</v>
      </c>
      <c r="H17" s="8" t="s">
        <v>294</v>
      </c>
      <c r="I17" s="8" t="s">
        <v>71</v>
      </c>
      <c r="J17" s="8" t="s">
        <v>73</v>
      </c>
      <c r="K17" s="8" t="s">
        <v>87</v>
      </c>
      <c r="L17" s="8"/>
      <c r="M17" s="8" t="s">
        <v>299</v>
      </c>
    </row>
    <row r="18">
      <c r="A18" s="7" t="s">
        <v>302</v>
      </c>
      <c r="B18" s="7" t="s">
        <v>185</v>
      </c>
      <c r="C18" s="7" t="s">
        <v>188</v>
      </c>
      <c r="D18" s="7" t="s">
        <v>304</v>
      </c>
      <c r="E18" s="7" t="s">
        <v>306</v>
      </c>
      <c r="F18" s="7" t="s">
        <v>309</v>
      </c>
      <c r="G18" s="7" t="s">
        <v>310</v>
      </c>
      <c r="H18" s="7" t="s">
        <v>312</v>
      </c>
      <c r="I18" s="7" t="s">
        <v>125</v>
      </c>
      <c r="J18" s="7" t="s">
        <v>73</v>
      </c>
      <c r="K18" s="7" t="s">
        <v>87</v>
      </c>
      <c r="L18" s="7"/>
      <c r="M18" s="7"/>
    </row>
    <row r="19">
      <c r="A19" s="8" t="s">
        <v>321</v>
      </c>
      <c r="B19" s="8" t="s">
        <v>185</v>
      </c>
      <c r="C19" s="8" t="s">
        <v>188</v>
      </c>
      <c r="D19" s="8" t="s">
        <v>323</v>
      </c>
      <c r="E19" s="8" t="s">
        <v>325</v>
      </c>
      <c r="F19" s="8" t="s">
        <v>326</v>
      </c>
      <c r="G19" s="8" t="s">
        <v>329</v>
      </c>
      <c r="H19" s="8" t="s">
        <v>331</v>
      </c>
      <c r="I19" s="8" t="s">
        <v>125</v>
      </c>
      <c r="J19" s="8" t="s">
        <v>73</v>
      </c>
      <c r="K19" s="8" t="s">
        <v>87</v>
      </c>
      <c r="L19" s="8"/>
      <c r="M19" s="8"/>
    </row>
    <row r="20">
      <c r="A20" s="7" t="s">
        <v>337</v>
      </c>
      <c r="B20" s="7" t="s">
        <v>185</v>
      </c>
      <c r="C20" s="7" t="s">
        <v>188</v>
      </c>
      <c r="D20" s="7" t="s">
        <v>342</v>
      </c>
      <c r="E20" s="7" t="s">
        <v>345</v>
      </c>
      <c r="F20" s="7" t="s">
        <v>346</v>
      </c>
      <c r="G20" s="7" t="s">
        <v>119</v>
      </c>
      <c r="H20" s="7" t="s">
        <v>348</v>
      </c>
      <c r="I20" s="7" t="s">
        <v>125</v>
      </c>
      <c r="J20" s="7" t="s">
        <v>73</v>
      </c>
      <c r="K20" s="7" t="s">
        <v>87</v>
      </c>
      <c r="L20" s="7"/>
      <c r="M20" s="7"/>
    </row>
    <row r="21" ht="15.75" customHeight="1">
      <c r="A21" s="8" t="s">
        <v>353</v>
      </c>
      <c r="B21" s="8" t="s">
        <v>185</v>
      </c>
      <c r="C21" s="8" t="s">
        <v>188</v>
      </c>
      <c r="D21" s="8" t="s">
        <v>356</v>
      </c>
      <c r="E21" s="8" t="s">
        <v>357</v>
      </c>
      <c r="F21" s="8" t="s">
        <v>358</v>
      </c>
      <c r="G21" s="8" t="s">
        <v>360</v>
      </c>
      <c r="H21" s="8" t="s">
        <v>361</v>
      </c>
      <c r="I21" s="8" t="s">
        <v>125</v>
      </c>
      <c r="J21" s="8" t="s">
        <v>73</v>
      </c>
      <c r="K21" s="11" t="s">
        <v>87</v>
      </c>
      <c r="L21" s="8"/>
      <c r="M21" s="8"/>
    </row>
    <row r="22" ht="15.75" customHeight="1">
      <c r="A22" s="7" t="s">
        <v>365</v>
      </c>
      <c r="B22" s="7" t="s">
        <v>185</v>
      </c>
      <c r="C22" s="7" t="s">
        <v>188</v>
      </c>
      <c r="D22" s="7" t="s">
        <v>371</v>
      </c>
      <c r="E22" s="7" t="s">
        <v>373</v>
      </c>
      <c r="F22" s="7" t="s">
        <v>374</v>
      </c>
      <c r="G22" s="7" t="s">
        <v>119</v>
      </c>
      <c r="H22" s="7" t="s">
        <v>375</v>
      </c>
      <c r="I22" s="7" t="s">
        <v>125</v>
      </c>
      <c r="J22" s="7" t="s">
        <v>73</v>
      </c>
      <c r="K22" s="10" t="s">
        <v>87</v>
      </c>
      <c r="L22" s="7"/>
      <c r="M22" s="7"/>
    </row>
    <row r="23" ht="15.75" customHeight="1">
      <c r="A23" s="8" t="s">
        <v>380</v>
      </c>
      <c r="B23" s="8" t="s">
        <v>185</v>
      </c>
      <c r="C23" s="8" t="s">
        <v>188</v>
      </c>
      <c r="D23" s="8" t="s">
        <v>382</v>
      </c>
      <c r="E23" s="8" t="s">
        <v>383</v>
      </c>
      <c r="F23" s="8" t="s">
        <v>385</v>
      </c>
      <c r="G23" s="8" t="s">
        <v>119</v>
      </c>
      <c r="H23" s="8" t="s">
        <v>388</v>
      </c>
      <c r="I23" s="8" t="s">
        <v>71</v>
      </c>
      <c r="J23" s="8" t="s">
        <v>73</v>
      </c>
      <c r="K23" s="11" t="s">
        <v>87</v>
      </c>
      <c r="L23" s="8"/>
      <c r="M23" s="8"/>
    </row>
    <row r="24" ht="15.75" customHeight="1">
      <c r="A24" s="7" t="s">
        <v>397</v>
      </c>
      <c r="B24" s="7" t="s">
        <v>185</v>
      </c>
      <c r="C24" s="7" t="s">
        <v>188</v>
      </c>
      <c r="D24" s="7" t="s">
        <v>400</v>
      </c>
      <c r="E24" s="7" t="s">
        <v>403</v>
      </c>
      <c r="F24" s="7" t="s">
        <v>405</v>
      </c>
      <c r="G24" s="7" t="s">
        <v>119</v>
      </c>
      <c r="H24" s="7" t="s">
        <v>407</v>
      </c>
      <c r="I24" s="7" t="s">
        <v>71</v>
      </c>
      <c r="J24" s="7" t="s">
        <v>73</v>
      </c>
      <c r="K24" s="10" t="s">
        <v>87</v>
      </c>
      <c r="L24" s="7"/>
      <c r="M24" s="7"/>
    </row>
    <row r="25" ht="15.75" customHeight="1">
      <c r="A25" s="8" t="s">
        <v>415</v>
      </c>
      <c r="B25" s="8" t="s">
        <v>185</v>
      </c>
      <c r="C25" s="8" t="s">
        <v>188</v>
      </c>
      <c r="D25" s="8" t="s">
        <v>418</v>
      </c>
      <c r="E25" s="8" t="s">
        <v>420</v>
      </c>
      <c r="F25" s="8" t="s">
        <v>423</v>
      </c>
      <c r="G25" s="8" t="s">
        <v>119</v>
      </c>
      <c r="H25" s="8" t="s">
        <v>426</v>
      </c>
      <c r="I25" s="8" t="s">
        <v>165</v>
      </c>
      <c r="J25" s="8" t="s">
        <v>73</v>
      </c>
      <c r="K25" s="11" t="s">
        <v>87</v>
      </c>
      <c r="L25" s="8"/>
      <c r="M25" s="8"/>
    </row>
    <row r="26" ht="15.75" customHeight="1">
      <c r="A26" s="7" t="s">
        <v>431</v>
      </c>
      <c r="B26" s="7" t="s">
        <v>185</v>
      </c>
      <c r="C26" s="7" t="s">
        <v>188</v>
      </c>
      <c r="D26" s="7" t="s">
        <v>434</v>
      </c>
      <c r="E26" s="7" t="s">
        <v>435</v>
      </c>
      <c r="F26" s="7" t="s">
        <v>437</v>
      </c>
      <c r="G26" s="7" t="s">
        <v>119</v>
      </c>
      <c r="H26" s="7" t="s">
        <v>439</v>
      </c>
      <c r="I26" s="7" t="s">
        <v>125</v>
      </c>
      <c r="J26" s="7" t="s">
        <v>167</v>
      </c>
      <c r="K26" s="7" t="s">
        <v>168</v>
      </c>
      <c r="L26" s="7"/>
      <c r="M26" s="7"/>
    </row>
    <row r="27" ht="15.75" customHeight="1">
      <c r="A27" s="8" t="s">
        <v>444</v>
      </c>
      <c r="B27" s="8" t="s">
        <v>185</v>
      </c>
      <c r="C27" s="8" t="s">
        <v>188</v>
      </c>
      <c r="D27" s="8" t="s">
        <v>447</v>
      </c>
      <c r="E27" s="8" t="s">
        <v>449</v>
      </c>
      <c r="F27" s="8" t="s">
        <v>450</v>
      </c>
      <c r="G27" s="8" t="s">
        <v>119</v>
      </c>
      <c r="H27" s="8" t="s">
        <v>452</v>
      </c>
      <c r="I27" s="8" t="s">
        <v>125</v>
      </c>
      <c r="J27" s="8" t="s">
        <v>454</v>
      </c>
      <c r="K27" s="11" t="s">
        <v>87</v>
      </c>
      <c r="L27" s="8"/>
      <c r="M27" s="8"/>
    </row>
    <row r="28" ht="15.75" customHeight="1">
      <c r="A28" s="7" t="s">
        <v>459</v>
      </c>
      <c r="B28" s="7" t="s">
        <v>185</v>
      </c>
      <c r="C28" s="7" t="s">
        <v>188</v>
      </c>
      <c r="D28" s="7" t="s">
        <v>462</v>
      </c>
      <c r="E28" s="7" t="s">
        <v>463</v>
      </c>
      <c r="F28" s="7" t="s">
        <v>450</v>
      </c>
      <c r="G28" s="7" t="s">
        <v>119</v>
      </c>
      <c r="H28" s="7" t="s">
        <v>468</v>
      </c>
      <c r="I28" s="7" t="s">
        <v>125</v>
      </c>
      <c r="J28" s="7" t="s">
        <v>454</v>
      </c>
      <c r="K28" s="10" t="s">
        <v>87</v>
      </c>
      <c r="L28" s="7"/>
      <c r="M28" s="7"/>
    </row>
    <row r="29" ht="15.75" customHeight="1">
      <c r="A29" s="8" t="s">
        <v>473</v>
      </c>
      <c r="B29" s="8" t="s">
        <v>474</v>
      </c>
      <c r="C29" s="8" t="s">
        <v>476</v>
      </c>
      <c r="D29" s="8" t="s">
        <v>478</v>
      </c>
      <c r="E29" s="8" t="s">
        <v>480</v>
      </c>
      <c r="F29" s="8" t="s">
        <v>482</v>
      </c>
      <c r="G29" s="8" t="s">
        <v>119</v>
      </c>
      <c r="H29" s="8" t="s">
        <v>485</v>
      </c>
      <c r="I29" s="8" t="s">
        <v>125</v>
      </c>
      <c r="J29" s="8" t="s">
        <v>73</v>
      </c>
      <c r="K29" s="11" t="s">
        <v>87</v>
      </c>
      <c r="L29" s="8"/>
      <c r="M29" s="8"/>
    </row>
    <row r="30" ht="15.75" customHeight="1">
      <c r="A30" s="7" t="s">
        <v>493</v>
      </c>
      <c r="B30" s="7" t="s">
        <v>474</v>
      </c>
      <c r="C30" s="7" t="s">
        <v>476</v>
      </c>
      <c r="D30" s="7" t="s">
        <v>495</v>
      </c>
      <c r="E30" s="7" t="s">
        <v>480</v>
      </c>
      <c r="F30" s="7" t="s">
        <v>497</v>
      </c>
      <c r="G30" s="7" t="s">
        <v>499</v>
      </c>
      <c r="H30" s="7" t="s">
        <v>501</v>
      </c>
      <c r="I30" s="7" t="s">
        <v>165</v>
      </c>
      <c r="J30" s="7" t="s">
        <v>167</v>
      </c>
      <c r="K30" s="7" t="s">
        <v>168</v>
      </c>
      <c r="L30" s="7"/>
      <c r="M30" s="7"/>
    </row>
    <row r="31" ht="15.75" customHeight="1">
      <c r="A31" s="8" t="s">
        <v>508</v>
      </c>
      <c r="B31" s="8" t="s">
        <v>474</v>
      </c>
      <c r="C31" s="8" t="s">
        <v>476</v>
      </c>
      <c r="D31" s="8" t="s">
        <v>512</v>
      </c>
      <c r="E31" s="8" t="s">
        <v>514</v>
      </c>
      <c r="F31" s="8" t="s">
        <v>515</v>
      </c>
      <c r="G31" s="8" t="s">
        <v>517</v>
      </c>
      <c r="H31" s="8" t="s">
        <v>518</v>
      </c>
      <c r="I31" s="8" t="s">
        <v>165</v>
      </c>
      <c r="J31" s="8" t="s">
        <v>73</v>
      </c>
      <c r="K31" s="11" t="s">
        <v>87</v>
      </c>
      <c r="L31" s="8"/>
      <c r="M31" s="8"/>
    </row>
    <row r="32" ht="15.75" customHeight="1">
      <c r="A32" s="7" t="s">
        <v>392</v>
      </c>
      <c r="B32" s="7" t="s">
        <v>474</v>
      </c>
      <c r="C32" s="7" t="s">
        <v>476</v>
      </c>
      <c r="D32" s="7" t="s">
        <v>529</v>
      </c>
      <c r="E32" s="7" t="s">
        <v>531</v>
      </c>
      <c r="F32" s="7" t="s">
        <v>533</v>
      </c>
      <c r="G32" s="7" t="s">
        <v>119</v>
      </c>
      <c r="H32" s="7" t="s">
        <v>538</v>
      </c>
      <c r="I32" s="7" t="s">
        <v>165</v>
      </c>
      <c r="J32" s="7" t="s">
        <v>73</v>
      </c>
      <c r="K32" s="10" t="s">
        <v>87</v>
      </c>
      <c r="L32" s="7"/>
      <c r="M32" s="10"/>
    </row>
    <row r="33" ht="15.75" customHeight="1">
      <c r="A33" s="8" t="s">
        <v>546</v>
      </c>
      <c r="B33" s="8" t="s">
        <v>474</v>
      </c>
      <c r="C33" s="8" t="s">
        <v>476</v>
      </c>
      <c r="D33" s="8" t="s">
        <v>549</v>
      </c>
      <c r="E33" s="8" t="s">
        <v>531</v>
      </c>
      <c r="F33" s="8" t="s">
        <v>552</v>
      </c>
      <c r="G33" s="8" t="s">
        <v>119</v>
      </c>
      <c r="H33" s="8" t="s">
        <v>554</v>
      </c>
      <c r="I33" s="8" t="s">
        <v>125</v>
      </c>
      <c r="J33" s="8" t="s">
        <v>73</v>
      </c>
      <c r="K33" s="11" t="s">
        <v>87</v>
      </c>
      <c r="L33" s="8"/>
      <c r="M33" s="10" t="s">
        <v>562</v>
      </c>
    </row>
    <row r="34" ht="15.75" customHeight="1">
      <c r="A34" s="7" t="s">
        <v>563</v>
      </c>
      <c r="B34" s="7" t="s">
        <v>474</v>
      </c>
      <c r="C34" s="7" t="s">
        <v>476</v>
      </c>
      <c r="D34" s="7" t="s">
        <v>567</v>
      </c>
      <c r="E34" s="7" t="s">
        <v>514</v>
      </c>
      <c r="F34" s="7" t="s">
        <v>570</v>
      </c>
      <c r="G34" s="7" t="s">
        <v>119</v>
      </c>
      <c r="H34" s="7" t="s">
        <v>573</v>
      </c>
      <c r="I34" s="7" t="s">
        <v>125</v>
      </c>
      <c r="J34" s="7" t="s">
        <v>73</v>
      </c>
      <c r="K34" s="10" t="s">
        <v>87</v>
      </c>
      <c r="L34" s="7"/>
      <c r="M34" s="7"/>
    </row>
    <row r="35" ht="15.75" customHeight="1">
      <c r="A35" s="8" t="s">
        <v>581</v>
      </c>
      <c r="B35" s="8" t="s">
        <v>474</v>
      </c>
      <c r="C35" s="8" t="s">
        <v>476</v>
      </c>
      <c r="D35" s="8" t="s">
        <v>584</v>
      </c>
      <c r="E35" s="8" t="s">
        <v>586</v>
      </c>
      <c r="F35" s="8" t="s">
        <v>588</v>
      </c>
      <c r="G35" s="8" t="s">
        <v>119</v>
      </c>
      <c r="H35" s="8" t="s">
        <v>591</v>
      </c>
      <c r="I35" s="8" t="s">
        <v>125</v>
      </c>
      <c r="J35" s="8" t="s">
        <v>73</v>
      </c>
      <c r="K35" s="11" t="s">
        <v>87</v>
      </c>
      <c r="L35" s="8"/>
      <c r="M35" s="8"/>
    </row>
    <row r="36" ht="15.75" customHeight="1">
      <c r="A36" s="7" t="s">
        <v>598</v>
      </c>
      <c r="B36" s="7" t="s">
        <v>474</v>
      </c>
      <c r="C36" s="7" t="s">
        <v>476</v>
      </c>
      <c r="D36" s="7" t="s">
        <v>601</v>
      </c>
      <c r="E36" s="7" t="s">
        <v>512</v>
      </c>
      <c r="F36" s="7" t="s">
        <v>604</v>
      </c>
      <c r="G36" s="7" t="s">
        <v>119</v>
      </c>
      <c r="H36" s="7" t="s">
        <v>606</v>
      </c>
      <c r="I36" s="7" t="s">
        <v>125</v>
      </c>
      <c r="J36" s="7" t="s">
        <v>73</v>
      </c>
      <c r="K36" s="10" t="s">
        <v>87</v>
      </c>
      <c r="L36" s="7"/>
      <c r="M36" s="7"/>
    </row>
    <row r="37" ht="15.75" customHeight="1">
      <c r="A37" s="8" t="s">
        <v>610</v>
      </c>
      <c r="B37" s="8" t="s">
        <v>474</v>
      </c>
      <c r="C37" s="8" t="s">
        <v>476</v>
      </c>
      <c r="D37" s="8" t="s">
        <v>612</v>
      </c>
      <c r="E37" s="8" t="s">
        <v>512</v>
      </c>
      <c r="F37" s="8" t="s">
        <v>613</v>
      </c>
      <c r="G37" s="8" t="s">
        <v>119</v>
      </c>
      <c r="H37" s="8" t="s">
        <v>614</v>
      </c>
      <c r="I37" s="8" t="s">
        <v>71</v>
      </c>
      <c r="J37" s="8" t="s">
        <v>73</v>
      </c>
      <c r="K37" s="11" t="s">
        <v>87</v>
      </c>
      <c r="L37" s="8"/>
      <c r="M37" s="8"/>
    </row>
    <row r="38" ht="15.75" customHeight="1">
      <c r="A38" s="7" t="s">
        <v>620</v>
      </c>
      <c r="B38" s="7" t="s">
        <v>474</v>
      </c>
      <c r="C38" s="7" t="s">
        <v>476</v>
      </c>
      <c r="D38" s="7" t="s">
        <v>622</v>
      </c>
      <c r="E38" s="7" t="s">
        <v>623</v>
      </c>
      <c r="F38" s="7" t="s">
        <v>624</v>
      </c>
      <c r="G38" s="7" t="s">
        <v>27</v>
      </c>
      <c r="H38" s="7" t="s">
        <v>626</v>
      </c>
      <c r="I38" s="7" t="s">
        <v>125</v>
      </c>
      <c r="J38" s="7" t="s">
        <v>73</v>
      </c>
      <c r="K38" s="10" t="s">
        <v>87</v>
      </c>
      <c r="L38" s="7"/>
      <c r="M38" s="7"/>
    </row>
    <row r="39" ht="15.75" customHeight="1">
      <c r="A39" s="8" t="s">
        <v>630</v>
      </c>
      <c r="B39" s="8" t="s">
        <v>474</v>
      </c>
      <c r="C39" s="8" t="s">
        <v>476</v>
      </c>
      <c r="D39" s="8" t="s">
        <v>241</v>
      </c>
      <c r="E39" s="8" t="s">
        <v>632</v>
      </c>
      <c r="F39" s="8" t="s">
        <v>243</v>
      </c>
      <c r="G39" s="8" t="s">
        <v>119</v>
      </c>
      <c r="H39" s="8" t="s">
        <v>634</v>
      </c>
      <c r="I39" s="8" t="s">
        <v>125</v>
      </c>
      <c r="J39" s="8" t="s">
        <v>167</v>
      </c>
      <c r="K39" s="8" t="s">
        <v>168</v>
      </c>
      <c r="L39" s="8"/>
      <c r="M39" s="8"/>
    </row>
    <row r="40" ht="15.75" customHeight="1">
      <c r="A40" s="7" t="s">
        <v>637</v>
      </c>
      <c r="B40" s="7" t="s">
        <v>474</v>
      </c>
      <c r="C40" s="7" t="s">
        <v>476</v>
      </c>
      <c r="D40" s="7" t="s">
        <v>639</v>
      </c>
      <c r="E40" s="7" t="s">
        <v>119</v>
      </c>
      <c r="F40" s="7" t="s">
        <v>436</v>
      </c>
      <c r="G40" s="7" t="s">
        <v>119</v>
      </c>
      <c r="H40" s="7" t="s">
        <v>642</v>
      </c>
      <c r="I40" s="7" t="s">
        <v>165</v>
      </c>
      <c r="J40" s="7" t="s">
        <v>167</v>
      </c>
      <c r="K40" s="7" t="s">
        <v>168</v>
      </c>
      <c r="L40" s="7"/>
      <c r="M40" s="7"/>
    </row>
    <row r="41" ht="15.75" customHeight="1">
      <c r="A41" s="8" t="s">
        <v>644</v>
      </c>
      <c r="B41" s="8" t="s">
        <v>646</v>
      </c>
      <c r="C41" s="8" t="s">
        <v>90</v>
      </c>
      <c r="D41" s="8" t="s">
        <v>647</v>
      </c>
      <c r="E41" s="8" t="s">
        <v>383</v>
      </c>
      <c r="F41" s="8" t="s">
        <v>649</v>
      </c>
      <c r="G41" s="8" t="s">
        <v>119</v>
      </c>
      <c r="H41" s="8" t="s">
        <v>651</v>
      </c>
      <c r="I41" s="8" t="s">
        <v>71</v>
      </c>
      <c r="J41" s="8" t="s">
        <v>73</v>
      </c>
      <c r="K41" s="11" t="s">
        <v>87</v>
      </c>
      <c r="L41" s="8"/>
      <c r="M41" s="8"/>
    </row>
    <row r="42" ht="15.75" customHeight="1">
      <c r="A42" s="7" t="s">
        <v>653</v>
      </c>
      <c r="B42" s="7" t="s">
        <v>646</v>
      </c>
      <c r="C42" s="7" t="s">
        <v>90</v>
      </c>
      <c r="D42" s="7" t="s">
        <v>655</v>
      </c>
      <c r="E42" s="7" t="s">
        <v>119</v>
      </c>
      <c r="F42" s="7" t="s">
        <v>657</v>
      </c>
      <c r="G42" s="7" t="s">
        <v>658</v>
      </c>
      <c r="H42" s="7" t="s">
        <v>660</v>
      </c>
      <c r="I42" s="7" t="s">
        <v>125</v>
      </c>
      <c r="J42" s="7" t="s">
        <v>167</v>
      </c>
      <c r="K42" s="7" t="s">
        <v>168</v>
      </c>
      <c r="L42" s="7"/>
      <c r="M42" s="7"/>
    </row>
    <row r="43" ht="15.75" customHeight="1">
      <c r="A43" s="8" t="s">
        <v>662</v>
      </c>
      <c r="B43" s="8" t="s">
        <v>646</v>
      </c>
      <c r="C43" s="8" t="s">
        <v>90</v>
      </c>
      <c r="D43" s="8" t="s">
        <v>663</v>
      </c>
      <c r="E43" s="8" t="s">
        <v>664</v>
      </c>
      <c r="F43" s="8" t="s">
        <v>665</v>
      </c>
      <c r="G43" s="8" t="s">
        <v>119</v>
      </c>
      <c r="H43" s="8" t="s">
        <v>667</v>
      </c>
      <c r="I43" s="8" t="s">
        <v>71</v>
      </c>
      <c r="J43" s="8" t="s">
        <v>73</v>
      </c>
      <c r="K43" s="11" t="s">
        <v>87</v>
      </c>
      <c r="L43" s="8"/>
      <c r="M43" s="11" t="s">
        <v>669</v>
      </c>
    </row>
    <row r="44" ht="15.75" customHeight="1">
      <c r="A44" s="7" t="s">
        <v>670</v>
      </c>
      <c r="B44" s="7" t="s">
        <v>646</v>
      </c>
      <c r="C44" s="7" t="s">
        <v>90</v>
      </c>
      <c r="D44" s="7" t="s">
        <v>672</v>
      </c>
      <c r="E44" s="7" t="s">
        <v>674</v>
      </c>
      <c r="F44" s="7" t="s">
        <v>675</v>
      </c>
      <c r="G44" s="7" t="s">
        <v>676</v>
      </c>
      <c r="H44" s="7" t="s">
        <v>677</v>
      </c>
      <c r="I44" s="7" t="s">
        <v>125</v>
      </c>
      <c r="J44" s="7" t="s">
        <v>73</v>
      </c>
      <c r="K44" s="10" t="s">
        <v>87</v>
      </c>
      <c r="L44" s="7"/>
      <c r="M44" s="7"/>
    </row>
    <row r="45" ht="15.75" customHeight="1">
      <c r="A45" s="8" t="s">
        <v>678</v>
      </c>
      <c r="B45" s="8" t="s">
        <v>646</v>
      </c>
      <c r="C45" s="8" t="s">
        <v>90</v>
      </c>
      <c r="D45" s="8" t="s">
        <v>680</v>
      </c>
      <c r="E45" s="8" t="s">
        <v>681</v>
      </c>
      <c r="F45" s="8" t="s">
        <v>682</v>
      </c>
      <c r="G45" s="8" t="s">
        <v>119</v>
      </c>
      <c r="H45" s="8" t="s">
        <v>684</v>
      </c>
      <c r="I45" s="8" t="s">
        <v>125</v>
      </c>
      <c r="J45" s="8" t="s">
        <v>73</v>
      </c>
      <c r="K45" s="11" t="s">
        <v>87</v>
      </c>
      <c r="L45" s="8"/>
      <c r="M45" s="8"/>
    </row>
    <row r="46" ht="15.75" customHeight="1">
      <c r="A46" s="7" t="s">
        <v>686</v>
      </c>
      <c r="B46" s="7" t="s">
        <v>646</v>
      </c>
      <c r="C46" s="7" t="s">
        <v>90</v>
      </c>
      <c r="D46" s="7" t="s">
        <v>93</v>
      </c>
      <c r="E46" s="7" t="s">
        <v>688</v>
      </c>
      <c r="F46" s="7" t="s">
        <v>689</v>
      </c>
      <c r="G46" s="7" t="s">
        <v>119</v>
      </c>
      <c r="H46" s="7" t="s">
        <v>690</v>
      </c>
      <c r="I46" s="7" t="s">
        <v>125</v>
      </c>
      <c r="J46" s="7" t="s">
        <v>73</v>
      </c>
      <c r="K46" s="10" t="s">
        <v>87</v>
      </c>
      <c r="L46" s="7"/>
      <c r="M46" s="10" t="s">
        <v>691</v>
      </c>
    </row>
    <row r="47" ht="15.75" customHeight="1">
      <c r="A47" s="8" t="s">
        <v>693</v>
      </c>
      <c r="B47" s="8" t="s">
        <v>646</v>
      </c>
      <c r="C47" s="8" t="s">
        <v>90</v>
      </c>
      <c r="D47" s="8" t="s">
        <v>695</v>
      </c>
      <c r="E47" s="8" t="s">
        <v>697</v>
      </c>
      <c r="F47" s="8" t="s">
        <v>698</v>
      </c>
      <c r="G47" s="8" t="s">
        <v>119</v>
      </c>
      <c r="H47" s="8" t="s">
        <v>700</v>
      </c>
      <c r="I47" s="8" t="s">
        <v>125</v>
      </c>
      <c r="J47" s="8" t="s">
        <v>73</v>
      </c>
      <c r="K47" s="11" t="s">
        <v>87</v>
      </c>
      <c r="L47" s="8"/>
      <c r="M47" s="8"/>
    </row>
    <row r="48" ht="15.75" customHeight="1">
      <c r="A48" s="7" t="s">
        <v>702</v>
      </c>
      <c r="B48" s="7" t="s">
        <v>646</v>
      </c>
      <c r="C48" s="7" t="s">
        <v>90</v>
      </c>
      <c r="D48" s="7" t="s">
        <v>704</v>
      </c>
      <c r="E48" s="7" t="s">
        <v>706</v>
      </c>
      <c r="F48" s="7" t="s">
        <v>707</v>
      </c>
      <c r="G48" s="7" t="s">
        <v>119</v>
      </c>
      <c r="H48" s="7" t="s">
        <v>709</v>
      </c>
      <c r="I48" s="7" t="s">
        <v>71</v>
      </c>
      <c r="J48" s="7" t="s">
        <v>73</v>
      </c>
      <c r="K48" s="10" t="s">
        <v>87</v>
      </c>
      <c r="L48" s="7"/>
      <c r="M48" s="7"/>
    </row>
    <row r="49" ht="15.75" customHeight="1">
      <c r="A49" s="8" t="s">
        <v>710</v>
      </c>
      <c r="B49" s="8" t="s">
        <v>646</v>
      </c>
      <c r="C49" s="8" t="s">
        <v>90</v>
      </c>
      <c r="D49" s="8" t="s">
        <v>711</v>
      </c>
      <c r="E49" s="8" t="s">
        <v>713</v>
      </c>
      <c r="F49" s="8" t="s">
        <v>714</v>
      </c>
      <c r="G49" s="8" t="s">
        <v>119</v>
      </c>
      <c r="H49" s="8" t="s">
        <v>716</v>
      </c>
      <c r="I49" s="8" t="s">
        <v>125</v>
      </c>
      <c r="J49" s="8" t="s">
        <v>73</v>
      </c>
      <c r="K49" s="11" t="s">
        <v>87</v>
      </c>
      <c r="L49" s="8"/>
      <c r="M49" s="8"/>
    </row>
    <row r="50" ht="15.75" customHeight="1">
      <c r="A50" s="7" t="s">
        <v>718</v>
      </c>
      <c r="B50" s="7" t="s">
        <v>719</v>
      </c>
      <c r="C50" s="7" t="s">
        <v>720</v>
      </c>
      <c r="D50" s="7" t="s">
        <v>721</v>
      </c>
      <c r="E50" s="7" t="s">
        <v>722</v>
      </c>
      <c r="F50" s="7" t="s">
        <v>723</v>
      </c>
      <c r="G50" s="7" t="s">
        <v>724</v>
      </c>
      <c r="H50" s="7" t="s">
        <v>725</v>
      </c>
      <c r="I50" s="7" t="s">
        <v>165</v>
      </c>
      <c r="J50" s="7" t="s">
        <v>73</v>
      </c>
      <c r="K50" s="10" t="s">
        <v>87</v>
      </c>
      <c r="L50" s="7"/>
      <c r="M50" s="10" t="s">
        <v>727</v>
      </c>
    </row>
    <row r="51" ht="15.75" customHeight="1">
      <c r="A51" s="8" t="s">
        <v>728</v>
      </c>
      <c r="B51" s="8" t="s">
        <v>719</v>
      </c>
      <c r="C51" s="8" t="s">
        <v>720</v>
      </c>
      <c r="D51" s="8" t="s">
        <v>730</v>
      </c>
      <c r="E51" s="8" t="s">
        <v>732</v>
      </c>
      <c r="F51" s="8" t="s">
        <v>723</v>
      </c>
      <c r="G51" s="8" t="s">
        <v>119</v>
      </c>
      <c r="H51" s="8" t="s">
        <v>734</v>
      </c>
      <c r="I51" s="8" t="s">
        <v>165</v>
      </c>
      <c r="J51" s="8" t="s">
        <v>73</v>
      </c>
      <c r="K51" s="11" t="s">
        <v>87</v>
      </c>
      <c r="L51" s="8"/>
      <c r="M51" s="11" t="s">
        <v>736</v>
      </c>
    </row>
    <row r="52" ht="15.75" customHeight="1">
      <c r="A52" s="7" t="s">
        <v>738</v>
      </c>
      <c r="B52" s="7" t="s">
        <v>719</v>
      </c>
      <c r="C52" s="7" t="s">
        <v>720</v>
      </c>
      <c r="D52" s="7" t="s">
        <v>740</v>
      </c>
      <c r="E52" s="7" t="s">
        <v>119</v>
      </c>
      <c r="F52" s="7" t="s">
        <v>742</v>
      </c>
      <c r="G52" s="7" t="s">
        <v>119</v>
      </c>
      <c r="H52" s="7" t="s">
        <v>743</v>
      </c>
      <c r="I52" s="7" t="s">
        <v>125</v>
      </c>
      <c r="J52" s="7" t="s">
        <v>73</v>
      </c>
      <c r="K52" s="10" t="s">
        <v>87</v>
      </c>
      <c r="L52" s="7"/>
      <c r="M52" s="7"/>
    </row>
    <row r="53" ht="15.75" customHeight="1">
      <c r="A53" s="8" t="s">
        <v>746</v>
      </c>
      <c r="B53" s="8" t="s">
        <v>719</v>
      </c>
      <c r="C53" s="8" t="s">
        <v>720</v>
      </c>
      <c r="D53" s="8" t="s">
        <v>749</v>
      </c>
      <c r="E53" s="8" t="s">
        <v>307</v>
      </c>
      <c r="F53" s="8" t="s">
        <v>750</v>
      </c>
      <c r="G53" s="8" t="s">
        <v>119</v>
      </c>
      <c r="H53" s="8" t="s">
        <v>578</v>
      </c>
      <c r="I53" s="8" t="s">
        <v>165</v>
      </c>
      <c r="J53" s="8" t="s">
        <v>73</v>
      </c>
      <c r="K53" s="11" t="s">
        <v>87</v>
      </c>
      <c r="L53" s="8"/>
      <c r="M53" s="11" t="s">
        <v>753</v>
      </c>
    </row>
    <row r="54" ht="15.75" customHeight="1">
      <c r="A54" s="7" t="s">
        <v>755</v>
      </c>
      <c r="B54" s="7" t="s">
        <v>719</v>
      </c>
      <c r="C54" s="7" t="s">
        <v>720</v>
      </c>
      <c r="D54" s="7" t="s">
        <v>757</v>
      </c>
      <c r="E54" s="7" t="s">
        <v>307</v>
      </c>
      <c r="F54" s="7" t="s">
        <v>758</v>
      </c>
      <c r="G54" s="7" t="s">
        <v>119</v>
      </c>
      <c r="H54" s="7" t="s">
        <v>759</v>
      </c>
      <c r="I54" s="7" t="s">
        <v>165</v>
      </c>
      <c r="J54" s="7" t="s">
        <v>73</v>
      </c>
      <c r="K54" s="10" t="s">
        <v>87</v>
      </c>
      <c r="L54" s="7"/>
      <c r="M54" s="11" t="s">
        <v>762</v>
      </c>
    </row>
    <row r="55" ht="15.75" customHeight="1">
      <c r="A55" s="8" t="s">
        <v>763</v>
      </c>
      <c r="B55" s="8" t="s">
        <v>719</v>
      </c>
      <c r="C55" s="8" t="s">
        <v>720</v>
      </c>
      <c r="D55" s="8" t="s">
        <v>765</v>
      </c>
      <c r="E55" s="8" t="s">
        <v>767</v>
      </c>
      <c r="F55" s="8" t="s">
        <v>768</v>
      </c>
      <c r="G55" s="8" t="s">
        <v>119</v>
      </c>
      <c r="H55" s="8" t="s">
        <v>769</v>
      </c>
      <c r="I55" s="8" t="s">
        <v>165</v>
      </c>
      <c r="J55" s="8" t="s">
        <v>167</v>
      </c>
      <c r="K55" s="11" t="s">
        <v>87</v>
      </c>
      <c r="L55" s="8"/>
      <c r="M55" s="8"/>
    </row>
    <row r="56" ht="15.75" customHeight="1">
      <c r="A56" s="7" t="s">
        <v>770</v>
      </c>
      <c r="B56" s="7" t="s">
        <v>719</v>
      </c>
      <c r="C56" s="7" t="s">
        <v>720</v>
      </c>
      <c r="D56" s="7" t="s">
        <v>771</v>
      </c>
      <c r="E56" s="7" t="s">
        <v>341</v>
      </c>
      <c r="F56" s="7" t="s">
        <v>772</v>
      </c>
      <c r="G56" s="7" t="s">
        <v>119</v>
      </c>
      <c r="H56" s="7" t="s">
        <v>769</v>
      </c>
      <c r="I56" s="7" t="s">
        <v>165</v>
      </c>
      <c r="J56" s="7" t="s">
        <v>167</v>
      </c>
      <c r="K56" s="10" t="s">
        <v>87</v>
      </c>
      <c r="L56" s="7"/>
      <c r="M56" s="7"/>
    </row>
    <row r="57" ht="15.75" customHeight="1">
      <c r="A57" s="8" t="s">
        <v>773</v>
      </c>
      <c r="B57" s="8" t="s">
        <v>719</v>
      </c>
      <c r="C57" s="8" t="s">
        <v>720</v>
      </c>
      <c r="D57" s="8" t="s">
        <v>774</v>
      </c>
      <c r="E57" s="8" t="s">
        <v>199</v>
      </c>
      <c r="F57" s="8" t="s">
        <v>775</v>
      </c>
      <c r="G57" s="8" t="s">
        <v>119</v>
      </c>
      <c r="H57" s="8" t="s">
        <v>776</v>
      </c>
      <c r="I57" s="8" t="s">
        <v>125</v>
      </c>
      <c r="J57" s="8" t="s">
        <v>73</v>
      </c>
      <c r="K57" s="11" t="s">
        <v>87</v>
      </c>
      <c r="L57" s="8"/>
      <c r="M57" s="11" t="s">
        <v>777</v>
      </c>
    </row>
    <row r="58" ht="15.75" customHeight="1">
      <c r="A58" s="7" t="s">
        <v>441</v>
      </c>
      <c r="B58" s="7" t="s">
        <v>719</v>
      </c>
      <c r="C58" s="7" t="s">
        <v>720</v>
      </c>
      <c r="D58" s="7" t="s">
        <v>778</v>
      </c>
      <c r="E58" s="7" t="s">
        <v>779</v>
      </c>
      <c r="F58" s="7" t="s">
        <v>780</v>
      </c>
      <c r="G58" s="7" t="s">
        <v>119</v>
      </c>
      <c r="H58" s="7" t="s">
        <v>781</v>
      </c>
      <c r="I58" s="7" t="s">
        <v>125</v>
      </c>
      <c r="J58" s="7" t="s">
        <v>73</v>
      </c>
      <c r="K58" s="10" t="s">
        <v>189</v>
      </c>
      <c r="L58" s="7"/>
      <c r="M58" s="7"/>
    </row>
    <row r="59" ht="15.75" customHeight="1">
      <c r="A59" s="8" t="s">
        <v>782</v>
      </c>
      <c r="B59" s="8" t="s">
        <v>719</v>
      </c>
      <c r="C59" s="8" t="s">
        <v>720</v>
      </c>
      <c r="D59" s="8" t="s">
        <v>783</v>
      </c>
      <c r="E59" s="8" t="s">
        <v>785</v>
      </c>
      <c r="F59" s="8" t="s">
        <v>786</v>
      </c>
      <c r="G59" s="8" t="s">
        <v>119</v>
      </c>
      <c r="H59" s="8" t="s">
        <v>787</v>
      </c>
      <c r="I59" s="8" t="s">
        <v>125</v>
      </c>
      <c r="J59" s="8" t="s">
        <v>73</v>
      </c>
      <c r="K59" s="11" t="s">
        <v>87</v>
      </c>
      <c r="L59" s="8"/>
      <c r="M59" s="11" t="s">
        <v>788</v>
      </c>
    </row>
    <row r="60" ht="15.75" customHeight="1">
      <c r="A60" s="7" t="s">
        <v>789</v>
      </c>
      <c r="B60" s="7" t="s">
        <v>719</v>
      </c>
      <c r="C60" s="7" t="s">
        <v>720</v>
      </c>
      <c r="D60" s="7" t="s">
        <v>791</v>
      </c>
      <c r="E60" s="7" t="s">
        <v>307</v>
      </c>
      <c r="F60" s="7" t="s">
        <v>792</v>
      </c>
      <c r="G60" s="7" t="s">
        <v>793</v>
      </c>
      <c r="H60" s="7" t="s">
        <v>794</v>
      </c>
      <c r="I60" s="7" t="s">
        <v>125</v>
      </c>
      <c r="J60" s="7" t="s">
        <v>73</v>
      </c>
      <c r="K60" s="7" t="s">
        <v>189</v>
      </c>
      <c r="L60" s="7"/>
      <c r="M60" s="7" t="s">
        <v>796</v>
      </c>
    </row>
    <row r="61" ht="15.75" customHeight="1">
      <c r="A61" s="8" t="s">
        <v>798</v>
      </c>
      <c r="B61" s="8" t="s">
        <v>719</v>
      </c>
      <c r="C61" s="8" t="s">
        <v>720</v>
      </c>
      <c r="D61" s="8" t="s">
        <v>799</v>
      </c>
      <c r="E61" s="8" t="s">
        <v>800</v>
      </c>
      <c r="F61" s="8" t="s">
        <v>801</v>
      </c>
      <c r="G61" s="8" t="s">
        <v>119</v>
      </c>
      <c r="H61" s="8" t="s">
        <v>802</v>
      </c>
      <c r="I61" s="8" t="s">
        <v>165</v>
      </c>
      <c r="J61" s="8" t="s">
        <v>73</v>
      </c>
      <c r="K61" s="11" t="s">
        <v>87</v>
      </c>
      <c r="L61" s="8"/>
      <c r="M61" s="8"/>
    </row>
    <row r="62" ht="15.75" customHeight="1">
      <c r="A62" s="7" t="s">
        <v>805</v>
      </c>
      <c r="B62" s="7" t="s">
        <v>807</v>
      </c>
      <c r="C62" s="7" t="s">
        <v>808</v>
      </c>
      <c r="D62" s="7" t="s">
        <v>809</v>
      </c>
      <c r="E62" s="7" t="s">
        <v>811</v>
      </c>
      <c r="F62" s="7" t="s">
        <v>812</v>
      </c>
      <c r="G62" s="7" t="s">
        <v>119</v>
      </c>
      <c r="H62" s="7" t="s">
        <v>813</v>
      </c>
      <c r="I62" s="7" t="s">
        <v>71</v>
      </c>
      <c r="J62" s="7" t="s">
        <v>73</v>
      </c>
      <c r="K62" s="10" t="s">
        <v>87</v>
      </c>
      <c r="L62" s="7"/>
      <c r="M62" s="7"/>
    </row>
    <row r="63" ht="15.75" customHeight="1">
      <c r="A63" s="8" t="s">
        <v>816</v>
      </c>
      <c r="B63" s="8" t="s">
        <v>807</v>
      </c>
      <c r="C63" s="8" t="s">
        <v>808</v>
      </c>
      <c r="D63" s="8" t="s">
        <v>819</v>
      </c>
      <c r="E63" s="8" t="s">
        <v>820</v>
      </c>
      <c r="F63" s="8" t="s">
        <v>821</v>
      </c>
      <c r="G63" s="8" t="s">
        <v>119</v>
      </c>
      <c r="H63" s="8" t="s">
        <v>822</v>
      </c>
      <c r="I63" s="8" t="s">
        <v>71</v>
      </c>
      <c r="J63" s="8" t="s">
        <v>73</v>
      </c>
      <c r="K63" s="11" t="s">
        <v>87</v>
      </c>
      <c r="L63" s="8"/>
      <c r="M63" s="8"/>
    </row>
    <row r="64" ht="15.75" customHeight="1">
      <c r="A64" s="7" t="s">
        <v>825</v>
      </c>
      <c r="B64" s="7" t="s">
        <v>807</v>
      </c>
      <c r="C64" s="7" t="s">
        <v>808</v>
      </c>
      <c r="D64" s="7" t="s">
        <v>827</v>
      </c>
      <c r="E64" s="7" t="s">
        <v>828</v>
      </c>
      <c r="F64" s="7" t="s">
        <v>830</v>
      </c>
      <c r="G64" s="7" t="s">
        <v>119</v>
      </c>
      <c r="H64" s="7" t="s">
        <v>831</v>
      </c>
      <c r="I64" s="7" t="s">
        <v>71</v>
      </c>
      <c r="J64" s="7" t="s">
        <v>73</v>
      </c>
      <c r="K64" s="10" t="s">
        <v>87</v>
      </c>
      <c r="L64" s="7"/>
      <c r="M64" s="7"/>
    </row>
    <row r="65" ht="15.75" customHeight="1">
      <c r="A65" s="8" t="s">
        <v>835</v>
      </c>
      <c r="B65" s="8" t="s">
        <v>807</v>
      </c>
      <c r="C65" s="8" t="s">
        <v>808</v>
      </c>
      <c r="D65" s="8" t="s">
        <v>838</v>
      </c>
      <c r="E65" s="8" t="s">
        <v>232</v>
      </c>
      <c r="F65" s="8" t="s">
        <v>839</v>
      </c>
      <c r="G65" s="8" t="s">
        <v>119</v>
      </c>
      <c r="H65" s="8" t="s">
        <v>840</v>
      </c>
      <c r="I65" s="8" t="s">
        <v>125</v>
      </c>
      <c r="J65" s="8" t="s">
        <v>73</v>
      </c>
      <c r="K65" s="11" t="s">
        <v>87</v>
      </c>
      <c r="L65" s="8"/>
      <c r="M65" s="8"/>
    </row>
    <row r="66" ht="15.75" customHeight="1">
      <c r="A66" s="7" t="s">
        <v>845</v>
      </c>
      <c r="B66" s="7" t="s">
        <v>807</v>
      </c>
      <c r="C66" s="7" t="s">
        <v>808</v>
      </c>
      <c r="D66" s="7" t="s">
        <v>847</v>
      </c>
      <c r="E66" s="7" t="s">
        <v>120</v>
      </c>
      <c r="F66" s="7" t="s">
        <v>848</v>
      </c>
      <c r="G66" s="7" t="s">
        <v>119</v>
      </c>
      <c r="H66" s="7" t="s">
        <v>850</v>
      </c>
      <c r="I66" s="7" t="s">
        <v>125</v>
      </c>
      <c r="J66" s="7" t="s">
        <v>73</v>
      </c>
      <c r="K66" s="10" t="s">
        <v>87</v>
      </c>
      <c r="L66" s="7"/>
      <c r="M66" s="7"/>
    </row>
    <row r="67" ht="15.75" customHeight="1">
      <c r="A67" s="8" t="s">
        <v>855</v>
      </c>
      <c r="B67" s="8" t="s">
        <v>807</v>
      </c>
      <c r="C67" s="8" t="s">
        <v>808</v>
      </c>
      <c r="D67" s="8" t="s">
        <v>856</v>
      </c>
      <c r="E67" s="8" t="s">
        <v>857</v>
      </c>
      <c r="F67" s="8" t="s">
        <v>858</v>
      </c>
      <c r="G67" s="8" t="s">
        <v>119</v>
      </c>
      <c r="H67" s="8" t="s">
        <v>859</v>
      </c>
      <c r="I67" s="8" t="s">
        <v>125</v>
      </c>
      <c r="J67" s="8" t="s">
        <v>73</v>
      </c>
      <c r="K67" s="11" t="s">
        <v>87</v>
      </c>
      <c r="L67" s="8"/>
      <c r="M67" s="11" t="s">
        <v>860</v>
      </c>
    </row>
    <row r="68" ht="15.75" customHeight="1">
      <c r="A68" s="7" t="s">
        <v>861</v>
      </c>
      <c r="B68" s="7" t="s">
        <v>807</v>
      </c>
      <c r="C68" s="7" t="s">
        <v>808</v>
      </c>
      <c r="D68" s="7" t="s">
        <v>862</v>
      </c>
      <c r="E68" s="7" t="s">
        <v>863</v>
      </c>
      <c r="F68" s="7" t="s">
        <v>864</v>
      </c>
      <c r="G68" s="7" t="s">
        <v>119</v>
      </c>
      <c r="H68" s="7" t="s">
        <v>865</v>
      </c>
      <c r="I68" s="7" t="s">
        <v>125</v>
      </c>
      <c r="J68" s="7" t="s">
        <v>73</v>
      </c>
      <c r="K68" s="10" t="s">
        <v>87</v>
      </c>
      <c r="L68" s="7"/>
      <c r="M68" s="7"/>
    </row>
    <row r="69" ht="15.75" customHeight="1">
      <c r="A69" s="8" t="s">
        <v>866</v>
      </c>
      <c r="B69" s="8" t="s">
        <v>807</v>
      </c>
      <c r="C69" s="8" t="s">
        <v>808</v>
      </c>
      <c r="D69" s="8" t="s">
        <v>867</v>
      </c>
      <c r="E69" s="8" t="s">
        <v>232</v>
      </c>
      <c r="F69" s="8" t="s">
        <v>868</v>
      </c>
      <c r="G69" s="8" t="s">
        <v>119</v>
      </c>
      <c r="H69" s="8" t="s">
        <v>869</v>
      </c>
      <c r="I69" s="8" t="s">
        <v>71</v>
      </c>
      <c r="J69" s="8" t="s">
        <v>73</v>
      </c>
      <c r="K69" s="11" t="s">
        <v>87</v>
      </c>
      <c r="L69" s="8"/>
      <c r="M69" s="8"/>
    </row>
    <row r="70" ht="15.75" customHeight="1">
      <c r="A70" s="7" t="s">
        <v>870</v>
      </c>
      <c r="B70" s="7" t="s">
        <v>807</v>
      </c>
      <c r="C70" s="7" t="s">
        <v>808</v>
      </c>
      <c r="D70" s="7" t="s">
        <v>871</v>
      </c>
      <c r="E70" s="7" t="s">
        <v>307</v>
      </c>
      <c r="F70" s="7" t="s">
        <v>872</v>
      </c>
      <c r="G70" s="7" t="s">
        <v>119</v>
      </c>
      <c r="H70" s="7" t="s">
        <v>873</v>
      </c>
      <c r="I70" s="7" t="s">
        <v>165</v>
      </c>
      <c r="J70" s="7" t="s">
        <v>73</v>
      </c>
      <c r="K70" s="10" t="s">
        <v>87</v>
      </c>
      <c r="L70" s="7"/>
      <c r="M70" s="7"/>
    </row>
    <row r="71" ht="15.75" customHeight="1">
      <c r="A71" s="8" t="s">
        <v>874</v>
      </c>
      <c r="B71" s="8" t="s">
        <v>807</v>
      </c>
      <c r="C71" s="8" t="s">
        <v>808</v>
      </c>
      <c r="D71" s="8" t="s">
        <v>875</v>
      </c>
      <c r="E71" s="8" t="s">
        <v>876</v>
      </c>
      <c r="F71" s="8" t="s">
        <v>868</v>
      </c>
      <c r="G71" s="8" t="s">
        <v>119</v>
      </c>
      <c r="H71" s="8" t="s">
        <v>877</v>
      </c>
      <c r="I71" s="8" t="s">
        <v>125</v>
      </c>
      <c r="J71" s="8" t="s">
        <v>73</v>
      </c>
      <c r="K71" s="11" t="s">
        <v>87</v>
      </c>
      <c r="L71" s="8"/>
      <c r="M71" s="8"/>
    </row>
    <row r="72" ht="15.75" customHeight="1">
      <c r="A72" s="7" t="s">
        <v>878</v>
      </c>
      <c r="B72" s="7" t="s">
        <v>807</v>
      </c>
      <c r="C72" s="7" t="s">
        <v>808</v>
      </c>
      <c r="D72" s="7" t="s">
        <v>879</v>
      </c>
      <c r="E72" s="7" t="s">
        <v>232</v>
      </c>
      <c r="F72" s="7" t="s">
        <v>880</v>
      </c>
      <c r="G72" s="7" t="s">
        <v>119</v>
      </c>
      <c r="H72" s="7" t="s">
        <v>881</v>
      </c>
      <c r="I72" s="7" t="s">
        <v>125</v>
      </c>
      <c r="J72" s="7" t="s">
        <v>73</v>
      </c>
      <c r="K72" s="7" t="s">
        <v>168</v>
      </c>
      <c r="L72" s="7"/>
      <c r="M72" s="7"/>
    </row>
    <row r="73" ht="15.75" customHeight="1">
      <c r="A73" s="8" t="s">
        <v>882</v>
      </c>
      <c r="B73" s="8" t="s">
        <v>883</v>
      </c>
      <c r="C73" s="8" t="s">
        <v>884</v>
      </c>
      <c r="D73" s="8" t="s">
        <v>885</v>
      </c>
      <c r="E73" s="8" t="s">
        <v>199</v>
      </c>
      <c r="F73" s="8" t="s">
        <v>886</v>
      </c>
      <c r="G73" s="8" t="s">
        <v>119</v>
      </c>
      <c r="H73" s="8" t="s">
        <v>887</v>
      </c>
      <c r="I73" s="8" t="s">
        <v>125</v>
      </c>
      <c r="J73" s="8" t="s">
        <v>73</v>
      </c>
      <c r="K73" s="11" t="s">
        <v>87</v>
      </c>
      <c r="L73" s="8"/>
      <c r="M73" s="11" t="s">
        <v>888</v>
      </c>
    </row>
    <row r="74" ht="15.75" customHeight="1">
      <c r="A74" s="7" t="s">
        <v>889</v>
      </c>
      <c r="B74" s="7" t="s">
        <v>883</v>
      </c>
      <c r="C74" s="7" t="s">
        <v>884</v>
      </c>
      <c r="D74" s="7" t="s">
        <v>890</v>
      </c>
      <c r="E74" s="7" t="s">
        <v>199</v>
      </c>
      <c r="F74" s="7" t="s">
        <v>891</v>
      </c>
      <c r="G74" s="7" t="s">
        <v>119</v>
      </c>
      <c r="H74" s="7" t="s">
        <v>892</v>
      </c>
      <c r="I74" s="7" t="s">
        <v>125</v>
      </c>
      <c r="J74" s="7" t="s">
        <v>73</v>
      </c>
      <c r="K74" s="10" t="s">
        <v>87</v>
      </c>
      <c r="L74" s="7"/>
      <c r="M74" s="10" t="s">
        <v>893</v>
      </c>
    </row>
    <row r="75" ht="15.75" customHeight="1">
      <c r="A75" s="8" t="s">
        <v>894</v>
      </c>
      <c r="B75" s="8" t="s">
        <v>883</v>
      </c>
      <c r="C75" s="8" t="s">
        <v>884</v>
      </c>
      <c r="D75" s="8" t="s">
        <v>895</v>
      </c>
      <c r="E75" s="8" t="s">
        <v>307</v>
      </c>
      <c r="F75" s="8" t="s">
        <v>896</v>
      </c>
      <c r="G75" s="8" t="s">
        <v>119</v>
      </c>
      <c r="H75" s="8" t="s">
        <v>897</v>
      </c>
      <c r="I75" s="8" t="s">
        <v>71</v>
      </c>
      <c r="J75" s="8" t="s">
        <v>73</v>
      </c>
      <c r="K75" s="11" t="s">
        <v>87</v>
      </c>
      <c r="L75" s="8"/>
      <c r="M75" s="8"/>
    </row>
    <row r="76" ht="15.75" customHeight="1">
      <c r="A76" s="7" t="s">
        <v>898</v>
      </c>
      <c r="B76" s="7" t="s">
        <v>883</v>
      </c>
      <c r="C76" s="7" t="s">
        <v>884</v>
      </c>
      <c r="D76" s="7" t="s">
        <v>899</v>
      </c>
      <c r="E76" s="7" t="s">
        <v>307</v>
      </c>
      <c r="F76" s="7" t="s">
        <v>900</v>
      </c>
      <c r="G76" s="7" t="s">
        <v>119</v>
      </c>
      <c r="H76" s="7" t="s">
        <v>901</v>
      </c>
      <c r="I76" s="7" t="s">
        <v>125</v>
      </c>
      <c r="J76" s="7" t="s">
        <v>73</v>
      </c>
      <c r="K76" s="10" t="s">
        <v>87</v>
      </c>
      <c r="L76" s="7"/>
      <c r="M76" s="7"/>
    </row>
    <row r="77" ht="15.75" customHeight="1">
      <c r="A77" s="8" t="s">
        <v>902</v>
      </c>
      <c r="B77" s="8" t="s">
        <v>883</v>
      </c>
      <c r="C77" s="8" t="s">
        <v>884</v>
      </c>
      <c r="D77" s="8" t="s">
        <v>903</v>
      </c>
      <c r="E77" s="8" t="s">
        <v>199</v>
      </c>
      <c r="F77" s="8" t="s">
        <v>904</v>
      </c>
      <c r="G77" s="8" t="s">
        <v>905</v>
      </c>
      <c r="H77" s="8" t="s">
        <v>906</v>
      </c>
      <c r="I77" s="8" t="s">
        <v>71</v>
      </c>
      <c r="J77" s="8" t="s">
        <v>73</v>
      </c>
      <c r="K77" s="11" t="s">
        <v>87</v>
      </c>
      <c r="L77" s="8"/>
      <c r="M77" s="8"/>
    </row>
    <row r="78" ht="15.75" customHeight="1">
      <c r="A78" s="7" t="s">
        <v>907</v>
      </c>
      <c r="B78" s="7" t="s">
        <v>883</v>
      </c>
      <c r="C78" s="7" t="s">
        <v>884</v>
      </c>
      <c r="D78" s="7" t="s">
        <v>908</v>
      </c>
      <c r="E78" s="7" t="s">
        <v>909</v>
      </c>
      <c r="F78" s="7" t="s">
        <v>910</v>
      </c>
      <c r="G78" s="7" t="s">
        <v>119</v>
      </c>
      <c r="H78" s="7" t="s">
        <v>911</v>
      </c>
      <c r="I78" s="7" t="s">
        <v>125</v>
      </c>
      <c r="J78" s="7" t="s">
        <v>73</v>
      </c>
      <c r="K78" s="10" t="s">
        <v>87</v>
      </c>
      <c r="L78" s="7"/>
      <c r="M78" s="10" t="s">
        <v>912</v>
      </c>
    </row>
    <row r="79" ht="15.75" customHeight="1">
      <c r="A79" s="8" t="s">
        <v>913</v>
      </c>
      <c r="B79" s="8" t="s">
        <v>883</v>
      </c>
      <c r="C79" s="8" t="s">
        <v>884</v>
      </c>
      <c r="D79" s="8" t="s">
        <v>914</v>
      </c>
      <c r="E79" s="8" t="s">
        <v>915</v>
      </c>
      <c r="F79" s="8" t="s">
        <v>916</v>
      </c>
      <c r="G79" s="8" t="s">
        <v>119</v>
      </c>
      <c r="H79" s="8" t="s">
        <v>917</v>
      </c>
      <c r="I79" s="8" t="s">
        <v>125</v>
      </c>
      <c r="J79" s="8" t="s">
        <v>73</v>
      </c>
      <c r="K79" s="11" t="s">
        <v>87</v>
      </c>
      <c r="L79" s="8"/>
      <c r="M79" s="8"/>
    </row>
    <row r="80" ht="15.75" customHeight="1">
      <c r="A80" s="7" t="s">
        <v>918</v>
      </c>
      <c r="B80" s="7" t="s">
        <v>919</v>
      </c>
      <c r="C80" s="7" t="s">
        <v>130</v>
      </c>
      <c r="D80" s="7" t="s">
        <v>920</v>
      </c>
      <c r="E80" s="7" t="s">
        <v>199</v>
      </c>
      <c r="F80" s="7" t="s">
        <v>921</v>
      </c>
      <c r="G80" s="7" t="s">
        <v>119</v>
      </c>
      <c r="H80" s="7" t="s">
        <v>922</v>
      </c>
      <c r="I80" s="7" t="s">
        <v>125</v>
      </c>
      <c r="J80" s="7" t="s">
        <v>73</v>
      </c>
      <c r="K80" s="10" t="s">
        <v>87</v>
      </c>
      <c r="L80" s="7"/>
      <c r="M80" s="10" t="s">
        <v>923</v>
      </c>
    </row>
    <row r="81" ht="15.75" customHeight="1">
      <c r="A81" s="8" t="s">
        <v>924</v>
      </c>
      <c r="B81" s="8" t="s">
        <v>919</v>
      </c>
      <c r="C81" s="8" t="s">
        <v>130</v>
      </c>
      <c r="D81" s="8" t="s">
        <v>925</v>
      </c>
      <c r="E81" s="8" t="s">
        <v>199</v>
      </c>
      <c r="F81" s="8" t="s">
        <v>926</v>
      </c>
      <c r="G81" s="8" t="s">
        <v>927</v>
      </c>
      <c r="H81" s="8" t="s">
        <v>928</v>
      </c>
      <c r="I81" s="8" t="s">
        <v>125</v>
      </c>
      <c r="J81" s="8" t="s">
        <v>73</v>
      </c>
      <c r="K81" s="11" t="s">
        <v>87</v>
      </c>
      <c r="L81" s="8"/>
      <c r="M81" s="11" t="s">
        <v>929</v>
      </c>
    </row>
    <row r="82" ht="15.75" customHeight="1">
      <c r="A82" s="7" t="s">
        <v>930</v>
      </c>
      <c r="B82" s="7" t="s">
        <v>919</v>
      </c>
      <c r="C82" s="7" t="s">
        <v>130</v>
      </c>
      <c r="D82" s="7" t="s">
        <v>931</v>
      </c>
      <c r="E82" s="7" t="s">
        <v>932</v>
      </c>
      <c r="F82" s="7" t="s">
        <v>933</v>
      </c>
      <c r="G82" s="7" t="s">
        <v>119</v>
      </c>
      <c r="H82" s="7" t="s">
        <v>934</v>
      </c>
      <c r="I82" s="7" t="s">
        <v>125</v>
      </c>
      <c r="J82" s="7" t="s">
        <v>73</v>
      </c>
      <c r="K82" s="10" t="s">
        <v>87</v>
      </c>
      <c r="L82" s="7"/>
      <c r="M82" s="7"/>
    </row>
    <row r="83" ht="15.75" customHeight="1">
      <c r="A83" s="8" t="s">
        <v>935</v>
      </c>
      <c r="B83" s="8" t="s">
        <v>919</v>
      </c>
      <c r="C83" s="8" t="s">
        <v>130</v>
      </c>
      <c r="D83" s="8" t="s">
        <v>936</v>
      </c>
      <c r="E83" s="8" t="s">
        <v>937</v>
      </c>
      <c r="F83" s="8" t="s">
        <v>938</v>
      </c>
      <c r="G83" s="8" t="s">
        <v>119</v>
      </c>
      <c r="H83" s="8" t="s">
        <v>939</v>
      </c>
      <c r="I83" s="8" t="s">
        <v>125</v>
      </c>
      <c r="J83" s="8" t="s">
        <v>73</v>
      </c>
      <c r="K83" s="11" t="s">
        <v>87</v>
      </c>
      <c r="L83" s="8"/>
      <c r="M83" s="8"/>
    </row>
    <row r="84" ht="15.75" customHeight="1">
      <c r="A84" s="7" t="s">
        <v>940</v>
      </c>
      <c r="B84" s="7" t="s">
        <v>919</v>
      </c>
      <c r="C84" s="7" t="s">
        <v>130</v>
      </c>
      <c r="D84" s="7" t="s">
        <v>941</v>
      </c>
      <c r="E84" s="7" t="s">
        <v>131</v>
      </c>
      <c r="F84" s="7" t="s">
        <v>933</v>
      </c>
      <c r="G84" s="7" t="s">
        <v>119</v>
      </c>
      <c r="H84" s="7" t="s">
        <v>942</v>
      </c>
      <c r="I84" s="7" t="s">
        <v>71</v>
      </c>
      <c r="J84" s="7" t="s">
        <v>454</v>
      </c>
      <c r="K84" s="10" t="s">
        <v>189</v>
      </c>
      <c r="L84" s="7"/>
      <c r="M84" s="10" t="s">
        <v>943</v>
      </c>
    </row>
    <row r="85" ht="15.75" customHeight="1">
      <c r="A85" s="8" t="s">
        <v>944</v>
      </c>
      <c r="B85" s="8" t="s">
        <v>919</v>
      </c>
      <c r="C85" s="8" t="s">
        <v>130</v>
      </c>
      <c r="D85" s="8" t="s">
        <v>945</v>
      </c>
      <c r="E85" s="8" t="s">
        <v>133</v>
      </c>
      <c r="F85" s="8" t="s">
        <v>946</v>
      </c>
      <c r="G85" s="8" t="s">
        <v>119</v>
      </c>
      <c r="H85" s="8" t="s">
        <v>947</v>
      </c>
      <c r="I85" s="8" t="s">
        <v>165</v>
      </c>
      <c r="J85" s="8" t="s">
        <v>167</v>
      </c>
      <c r="K85" s="11" t="s">
        <v>189</v>
      </c>
      <c r="L85" s="8"/>
      <c r="M85" s="8"/>
    </row>
    <row r="86" ht="15.75" customHeight="1">
      <c r="A86" s="7" t="s">
        <v>948</v>
      </c>
      <c r="B86" s="7" t="s">
        <v>919</v>
      </c>
      <c r="C86" s="7" t="s">
        <v>130</v>
      </c>
      <c r="D86" s="7" t="s">
        <v>949</v>
      </c>
      <c r="E86" s="7" t="s">
        <v>950</v>
      </c>
      <c r="F86" s="7" t="s">
        <v>951</v>
      </c>
      <c r="G86" s="7" t="s">
        <v>119</v>
      </c>
      <c r="H86" s="7" t="s">
        <v>952</v>
      </c>
      <c r="I86" s="7" t="s">
        <v>71</v>
      </c>
      <c r="J86" s="7" t="s">
        <v>73</v>
      </c>
      <c r="K86" s="10" t="s">
        <v>87</v>
      </c>
      <c r="L86" s="7"/>
      <c r="M86" s="7"/>
    </row>
    <row r="87" ht="15.75" customHeight="1">
      <c r="A87" s="8" t="s">
        <v>953</v>
      </c>
      <c r="B87" s="8" t="s">
        <v>919</v>
      </c>
      <c r="C87" s="8" t="s">
        <v>130</v>
      </c>
      <c r="D87" s="8" t="s">
        <v>954</v>
      </c>
      <c r="E87" s="8" t="s">
        <v>955</v>
      </c>
      <c r="F87" s="8" t="s">
        <v>603</v>
      </c>
      <c r="G87" s="8" t="s">
        <v>119</v>
      </c>
      <c r="H87" s="8" t="s">
        <v>956</v>
      </c>
      <c r="I87" s="8" t="s">
        <v>125</v>
      </c>
      <c r="J87" s="8" t="s">
        <v>73</v>
      </c>
      <c r="K87" s="11" t="s">
        <v>957</v>
      </c>
      <c r="L87" s="8"/>
      <c r="M87" s="11" t="s">
        <v>958</v>
      </c>
    </row>
    <row r="88" ht="15.75" customHeight="1">
      <c r="A88" s="7" t="s">
        <v>959</v>
      </c>
      <c r="B88" s="7" t="s">
        <v>960</v>
      </c>
      <c r="C88" s="7" t="s">
        <v>961</v>
      </c>
      <c r="D88" s="7" t="s">
        <v>962</v>
      </c>
      <c r="E88" s="7" t="s">
        <v>123</v>
      </c>
      <c r="F88" s="7" t="s">
        <v>963</v>
      </c>
      <c r="G88" s="7" t="s">
        <v>119</v>
      </c>
      <c r="H88" s="7" t="s">
        <v>964</v>
      </c>
      <c r="I88" s="7" t="s">
        <v>125</v>
      </c>
      <c r="J88" s="7" t="s">
        <v>73</v>
      </c>
      <c r="K88" s="10" t="s">
        <v>87</v>
      </c>
      <c r="L88" s="7"/>
      <c r="M88" s="10" t="s">
        <v>965</v>
      </c>
    </row>
    <row r="89" ht="15.75" customHeight="1">
      <c r="A89" s="8" t="s">
        <v>966</v>
      </c>
      <c r="B89" s="8" t="s">
        <v>960</v>
      </c>
      <c r="C89" s="8" t="s">
        <v>961</v>
      </c>
      <c r="D89" s="8" t="s">
        <v>967</v>
      </c>
      <c r="E89" s="8" t="s">
        <v>968</v>
      </c>
      <c r="F89" s="8" t="s">
        <v>969</v>
      </c>
      <c r="G89" s="8" t="s">
        <v>119</v>
      </c>
      <c r="H89" s="8" t="s">
        <v>865</v>
      </c>
      <c r="I89" s="8" t="s">
        <v>125</v>
      </c>
      <c r="J89" s="8" t="s">
        <v>73</v>
      </c>
      <c r="K89" s="11" t="s">
        <v>87</v>
      </c>
      <c r="L89" s="8"/>
      <c r="M89" s="8"/>
    </row>
    <row r="90" ht="15.75" customHeight="1">
      <c r="A90" s="7" t="s">
        <v>970</v>
      </c>
      <c r="B90" s="7" t="s">
        <v>960</v>
      </c>
      <c r="C90" s="7" t="s">
        <v>961</v>
      </c>
      <c r="D90" s="7" t="s">
        <v>971</v>
      </c>
      <c r="E90" s="7" t="s">
        <v>119</v>
      </c>
      <c r="F90" s="7" t="s">
        <v>972</v>
      </c>
      <c r="G90" s="7" t="s">
        <v>119</v>
      </c>
      <c r="H90" s="7" t="s">
        <v>865</v>
      </c>
      <c r="I90" s="7" t="s">
        <v>125</v>
      </c>
      <c r="J90" s="7" t="s">
        <v>73</v>
      </c>
      <c r="K90" s="10" t="s">
        <v>87</v>
      </c>
      <c r="L90" s="7"/>
      <c r="M90" s="7"/>
    </row>
    <row r="91" ht="15.75" customHeight="1">
      <c r="A91" s="8" t="s">
        <v>973</v>
      </c>
      <c r="B91" s="8" t="s">
        <v>960</v>
      </c>
      <c r="C91" s="8" t="s">
        <v>961</v>
      </c>
      <c r="D91" s="8" t="s">
        <v>974</v>
      </c>
      <c r="E91" s="8" t="s">
        <v>975</v>
      </c>
      <c r="F91" s="8" t="s">
        <v>976</v>
      </c>
      <c r="G91" s="8" t="s">
        <v>119</v>
      </c>
      <c r="H91" s="8" t="s">
        <v>977</v>
      </c>
      <c r="I91" s="8" t="s">
        <v>71</v>
      </c>
      <c r="J91" s="8" t="s">
        <v>73</v>
      </c>
      <c r="K91" s="11" t="s">
        <v>87</v>
      </c>
      <c r="L91" s="8"/>
      <c r="M91" s="8"/>
    </row>
    <row r="92" ht="15.75" customHeight="1">
      <c r="A92" s="7" t="s">
        <v>978</v>
      </c>
      <c r="B92" s="7" t="s">
        <v>960</v>
      </c>
      <c r="C92" s="7" t="s">
        <v>961</v>
      </c>
      <c r="D92" s="7" t="s">
        <v>979</v>
      </c>
      <c r="E92" s="7" t="s">
        <v>980</v>
      </c>
      <c r="F92" s="7" t="s">
        <v>981</v>
      </c>
      <c r="G92" s="7" t="s">
        <v>119</v>
      </c>
      <c r="H92" s="7" t="s">
        <v>982</v>
      </c>
      <c r="I92" s="7" t="s">
        <v>71</v>
      </c>
      <c r="J92" s="7" t="s">
        <v>73</v>
      </c>
      <c r="K92" s="10" t="s">
        <v>87</v>
      </c>
      <c r="L92" s="7"/>
      <c r="M92" s="7"/>
    </row>
    <row r="93" ht="15.75" customHeight="1">
      <c r="A93" s="23" t="s">
        <v>983</v>
      </c>
      <c r="B93" s="23" t="s">
        <v>960</v>
      </c>
      <c r="C93" s="23" t="s">
        <v>961</v>
      </c>
      <c r="D93" s="23" t="s">
        <v>984</v>
      </c>
      <c r="E93" s="23" t="s">
        <v>985</v>
      </c>
      <c r="F93" s="23" t="s">
        <v>986</v>
      </c>
      <c r="G93" s="23" t="s">
        <v>119</v>
      </c>
      <c r="H93" s="23" t="s">
        <v>987</v>
      </c>
      <c r="I93" s="23" t="s">
        <v>71</v>
      </c>
      <c r="J93" s="23" t="s">
        <v>73</v>
      </c>
      <c r="K93" s="24" t="s">
        <v>957</v>
      </c>
      <c r="L93" s="23"/>
      <c r="M93" s="24"/>
      <c r="N93" s="25"/>
      <c r="O93" s="25"/>
      <c r="P93" s="25"/>
      <c r="Q93" s="25"/>
      <c r="R93" s="25"/>
      <c r="S93" s="25"/>
      <c r="T93" s="25"/>
      <c r="U93" s="25"/>
      <c r="V93" s="25"/>
      <c r="W93" s="25"/>
      <c r="X93" s="25"/>
      <c r="Y93" s="25"/>
      <c r="Z93" s="25"/>
    </row>
    <row r="94" ht="15.75" customHeight="1">
      <c r="A94" s="7" t="s">
        <v>988</v>
      </c>
      <c r="B94" s="7" t="s">
        <v>960</v>
      </c>
      <c r="C94" s="7" t="s">
        <v>961</v>
      </c>
      <c r="D94" s="7" t="s">
        <v>989</v>
      </c>
      <c r="E94" s="7" t="s">
        <v>990</v>
      </c>
      <c r="F94" s="7" t="s">
        <v>991</v>
      </c>
      <c r="G94" s="7" t="s">
        <v>119</v>
      </c>
      <c r="H94" s="7" t="s">
        <v>992</v>
      </c>
      <c r="I94" s="7" t="s">
        <v>71</v>
      </c>
      <c r="J94" s="7" t="s">
        <v>73</v>
      </c>
      <c r="K94" s="10" t="s">
        <v>87</v>
      </c>
      <c r="L94" s="7"/>
      <c r="M94" s="7"/>
    </row>
    <row r="95" ht="15.75" customHeight="1">
      <c r="A95" s="8" t="s">
        <v>993</v>
      </c>
      <c r="B95" s="8" t="s">
        <v>960</v>
      </c>
      <c r="C95" s="8" t="s">
        <v>961</v>
      </c>
      <c r="D95" s="8" t="s">
        <v>994</v>
      </c>
      <c r="E95" s="8" t="s">
        <v>995</v>
      </c>
      <c r="F95" s="8" t="s">
        <v>996</v>
      </c>
      <c r="G95" s="8" t="s">
        <v>997</v>
      </c>
      <c r="H95" s="8" t="s">
        <v>998</v>
      </c>
      <c r="I95" s="8" t="s">
        <v>71</v>
      </c>
      <c r="J95" s="8" t="s">
        <v>73</v>
      </c>
      <c r="K95" s="11" t="s">
        <v>87</v>
      </c>
      <c r="L95" s="8"/>
      <c r="M95" s="8"/>
    </row>
    <row r="96" ht="15.75" customHeight="1">
      <c r="A96" s="23" t="s">
        <v>999</v>
      </c>
      <c r="B96" s="23" t="s">
        <v>960</v>
      </c>
      <c r="C96" s="23" t="s">
        <v>961</v>
      </c>
      <c r="D96" s="23" t="s">
        <v>1000</v>
      </c>
      <c r="E96" s="23" t="s">
        <v>1001</v>
      </c>
      <c r="F96" s="23" t="s">
        <v>1002</v>
      </c>
      <c r="G96" s="23" t="s">
        <v>119</v>
      </c>
      <c r="H96" s="23" t="s">
        <v>1003</v>
      </c>
      <c r="I96" s="23" t="s">
        <v>125</v>
      </c>
      <c r="J96" s="23" t="s">
        <v>73</v>
      </c>
      <c r="K96" s="24" t="s">
        <v>957</v>
      </c>
      <c r="L96" s="23"/>
      <c r="M96" s="24" t="s">
        <v>1004</v>
      </c>
      <c r="N96" s="25"/>
      <c r="O96" s="25"/>
      <c r="P96" s="25"/>
      <c r="Q96" s="25"/>
      <c r="R96" s="25"/>
      <c r="S96" s="25"/>
      <c r="T96" s="25"/>
      <c r="U96" s="25"/>
      <c r="V96" s="25"/>
      <c r="W96" s="25"/>
      <c r="X96" s="25"/>
      <c r="Y96" s="25"/>
      <c r="Z96" s="25"/>
    </row>
    <row r="97" ht="15.75" customHeight="1">
      <c r="A97" s="8" t="s">
        <v>1005</v>
      </c>
      <c r="B97" s="8" t="s">
        <v>960</v>
      </c>
      <c r="C97" s="8" t="s">
        <v>961</v>
      </c>
      <c r="D97" s="8" t="s">
        <v>1006</v>
      </c>
      <c r="E97" s="8" t="s">
        <v>1001</v>
      </c>
      <c r="F97" s="8" t="s">
        <v>1007</v>
      </c>
      <c r="G97" s="8" t="s">
        <v>119</v>
      </c>
      <c r="H97" s="8" t="s">
        <v>1008</v>
      </c>
      <c r="I97" s="8" t="s">
        <v>165</v>
      </c>
      <c r="J97" s="8" t="s">
        <v>167</v>
      </c>
      <c r="K97" s="11" t="s">
        <v>87</v>
      </c>
      <c r="L97" s="8"/>
      <c r="M97" s="8"/>
    </row>
    <row r="98" ht="15.75" customHeight="1">
      <c r="A98" s="23" t="s">
        <v>1009</v>
      </c>
      <c r="B98" s="23" t="s">
        <v>960</v>
      </c>
      <c r="C98" s="23" t="s">
        <v>961</v>
      </c>
      <c r="D98" s="23" t="s">
        <v>1010</v>
      </c>
      <c r="E98" s="23" t="s">
        <v>1011</v>
      </c>
      <c r="F98" s="23" t="s">
        <v>1012</v>
      </c>
      <c r="G98" s="23" t="s">
        <v>119</v>
      </c>
      <c r="H98" s="23" t="s">
        <v>1013</v>
      </c>
      <c r="I98" s="23" t="s">
        <v>125</v>
      </c>
      <c r="J98" s="23" t="s">
        <v>73</v>
      </c>
      <c r="K98" s="24" t="s">
        <v>957</v>
      </c>
      <c r="L98" s="24"/>
      <c r="M98" s="24" t="s">
        <v>1014</v>
      </c>
      <c r="N98" s="25"/>
      <c r="O98" s="25"/>
      <c r="P98" s="25"/>
      <c r="Q98" s="25"/>
      <c r="R98" s="25"/>
      <c r="S98" s="25"/>
      <c r="T98" s="25"/>
      <c r="U98" s="25"/>
      <c r="V98" s="25"/>
      <c r="W98" s="25"/>
      <c r="X98" s="25"/>
      <c r="Y98" s="25"/>
      <c r="Z98" s="25"/>
    </row>
    <row r="99" ht="15.75" customHeight="1">
      <c r="A99" s="8" t="s">
        <v>1015</v>
      </c>
      <c r="B99" s="8" t="s">
        <v>1016</v>
      </c>
      <c r="C99" s="8" t="s">
        <v>961</v>
      </c>
      <c r="D99" s="8" t="s">
        <v>1017</v>
      </c>
      <c r="E99" s="8" t="s">
        <v>1018</v>
      </c>
      <c r="F99" s="8" t="s">
        <v>1019</v>
      </c>
      <c r="G99" s="8" t="s">
        <v>119</v>
      </c>
      <c r="H99" s="8" t="s">
        <v>1020</v>
      </c>
      <c r="I99" s="8" t="s">
        <v>71</v>
      </c>
      <c r="J99" s="8" t="s">
        <v>73</v>
      </c>
      <c r="K99" s="11" t="s">
        <v>87</v>
      </c>
      <c r="L99" s="8"/>
      <c r="M99" s="8"/>
    </row>
    <row r="100" ht="15.75" customHeight="1">
      <c r="A100" s="7" t="s">
        <v>1021</v>
      </c>
      <c r="B100" s="7" t="s">
        <v>1016</v>
      </c>
      <c r="C100" s="7" t="s">
        <v>961</v>
      </c>
      <c r="D100" s="7" t="s">
        <v>1022</v>
      </c>
      <c r="E100" s="7" t="s">
        <v>1023</v>
      </c>
      <c r="F100" s="7" t="s">
        <v>1024</v>
      </c>
      <c r="G100" s="7" t="s">
        <v>119</v>
      </c>
      <c r="H100" s="7" t="s">
        <v>1025</v>
      </c>
      <c r="I100" s="7" t="s">
        <v>125</v>
      </c>
      <c r="J100" s="7" t="s">
        <v>73</v>
      </c>
      <c r="K100" s="10" t="s">
        <v>87</v>
      </c>
      <c r="L100" s="7"/>
      <c r="M100" s="7"/>
    </row>
    <row r="101" ht="15.75" customHeight="1">
      <c r="A101" s="8" t="s">
        <v>1026</v>
      </c>
      <c r="B101" s="8" t="s">
        <v>1016</v>
      </c>
      <c r="C101" s="8" t="s">
        <v>961</v>
      </c>
      <c r="D101" s="8" t="s">
        <v>1027</v>
      </c>
      <c r="E101" s="8" t="s">
        <v>1023</v>
      </c>
      <c r="F101" s="8" t="s">
        <v>1028</v>
      </c>
      <c r="G101" s="8" t="s">
        <v>119</v>
      </c>
      <c r="H101" s="8" t="s">
        <v>1029</v>
      </c>
      <c r="I101" s="8" t="s">
        <v>71</v>
      </c>
      <c r="J101" s="8" t="s">
        <v>73</v>
      </c>
      <c r="K101" s="11" t="s">
        <v>87</v>
      </c>
      <c r="L101" s="8"/>
      <c r="M101" s="8"/>
    </row>
    <row r="102" ht="15.75" customHeight="1">
      <c r="A102" s="23" t="s">
        <v>1030</v>
      </c>
      <c r="B102" s="23" t="s">
        <v>1016</v>
      </c>
      <c r="C102" s="23" t="s">
        <v>961</v>
      </c>
      <c r="D102" s="23" t="s">
        <v>1031</v>
      </c>
      <c r="E102" s="23" t="s">
        <v>1023</v>
      </c>
      <c r="F102" s="23" t="s">
        <v>1032</v>
      </c>
      <c r="G102" s="23" t="s">
        <v>119</v>
      </c>
      <c r="H102" s="23" t="s">
        <v>1033</v>
      </c>
      <c r="I102" s="23" t="s">
        <v>71</v>
      </c>
      <c r="J102" s="23" t="s">
        <v>73</v>
      </c>
      <c r="K102" s="24" t="s">
        <v>957</v>
      </c>
      <c r="L102" s="23"/>
      <c r="M102" s="24" t="s">
        <v>1034</v>
      </c>
      <c r="N102" s="25"/>
      <c r="O102" s="25"/>
      <c r="P102" s="25"/>
      <c r="Q102" s="25"/>
      <c r="R102" s="25"/>
      <c r="S102" s="25"/>
      <c r="T102" s="25"/>
      <c r="U102" s="25"/>
      <c r="V102" s="25"/>
      <c r="W102" s="25"/>
      <c r="X102" s="25"/>
      <c r="Y102" s="25"/>
      <c r="Z102" s="25"/>
    </row>
    <row r="103" ht="15.75" customHeight="1">
      <c r="A103" s="8" t="s">
        <v>548</v>
      </c>
      <c r="B103" s="8" t="s">
        <v>1016</v>
      </c>
      <c r="C103" s="8" t="s">
        <v>961</v>
      </c>
      <c r="D103" s="8" t="s">
        <v>1035</v>
      </c>
      <c r="E103" s="8" t="s">
        <v>1023</v>
      </c>
      <c r="F103" s="8" t="s">
        <v>1036</v>
      </c>
      <c r="G103" s="8" t="s">
        <v>1037</v>
      </c>
      <c r="H103" s="8" t="s">
        <v>1038</v>
      </c>
      <c r="I103" s="8" t="s">
        <v>125</v>
      </c>
      <c r="J103" s="8" t="s">
        <v>73</v>
      </c>
      <c r="K103" s="11" t="s">
        <v>87</v>
      </c>
      <c r="L103" s="8"/>
      <c r="M103" s="11" t="s">
        <v>1039</v>
      </c>
    </row>
    <row r="104" ht="15.75" customHeight="1">
      <c r="A104" s="7" t="s">
        <v>1040</v>
      </c>
      <c r="B104" s="7" t="s">
        <v>1016</v>
      </c>
      <c r="C104" s="7" t="s">
        <v>961</v>
      </c>
      <c r="D104" s="7" t="s">
        <v>1041</v>
      </c>
      <c r="E104" s="7" t="s">
        <v>1023</v>
      </c>
      <c r="F104" s="7" t="s">
        <v>1042</v>
      </c>
      <c r="G104" s="7" t="s">
        <v>1043</v>
      </c>
      <c r="H104" s="7" t="s">
        <v>1038</v>
      </c>
      <c r="I104" s="7" t="s">
        <v>125</v>
      </c>
      <c r="J104" s="7" t="s">
        <v>73</v>
      </c>
      <c r="K104" s="10" t="s">
        <v>87</v>
      </c>
      <c r="L104" s="7"/>
      <c r="M104" s="7"/>
    </row>
    <row r="105" ht="15.75" customHeight="1">
      <c r="A105" s="8" t="s">
        <v>1044</v>
      </c>
      <c r="B105" s="8" t="s">
        <v>1016</v>
      </c>
      <c r="C105" s="8" t="s">
        <v>961</v>
      </c>
      <c r="D105" s="8" t="s">
        <v>1045</v>
      </c>
      <c r="E105" s="8" t="s">
        <v>1046</v>
      </c>
      <c r="F105" s="8" t="s">
        <v>1047</v>
      </c>
      <c r="G105" s="8" t="s">
        <v>119</v>
      </c>
      <c r="H105" s="8" t="s">
        <v>1048</v>
      </c>
      <c r="I105" s="8" t="s">
        <v>125</v>
      </c>
      <c r="J105" s="8" t="s">
        <v>73</v>
      </c>
      <c r="K105" s="11" t="s">
        <v>87</v>
      </c>
      <c r="L105" s="8"/>
      <c r="M105" s="8"/>
    </row>
    <row r="106" ht="15.75" customHeight="1">
      <c r="A106" s="8" t="s">
        <v>1049</v>
      </c>
      <c r="B106" s="8" t="s">
        <v>1016</v>
      </c>
      <c r="C106" s="8" t="s">
        <v>961</v>
      </c>
      <c r="D106" s="8" t="s">
        <v>1050</v>
      </c>
      <c r="E106" s="8" t="s">
        <v>119</v>
      </c>
      <c r="F106" s="8" t="s">
        <v>1051</v>
      </c>
      <c r="G106" s="8" t="s">
        <v>1052</v>
      </c>
      <c r="H106" s="8" t="s">
        <v>1053</v>
      </c>
      <c r="I106" s="8" t="s">
        <v>165</v>
      </c>
      <c r="J106" s="8" t="s">
        <v>167</v>
      </c>
      <c r="K106" s="11" t="s">
        <v>87</v>
      </c>
      <c r="L106" s="8"/>
      <c r="M106" s="8"/>
    </row>
    <row r="107" ht="15.75" customHeight="1">
      <c r="A107" s="8" t="s">
        <v>1054</v>
      </c>
      <c r="B107" s="8" t="s">
        <v>1016</v>
      </c>
      <c r="C107" s="8" t="s">
        <v>961</v>
      </c>
      <c r="D107" s="8" t="s">
        <v>1055</v>
      </c>
      <c r="E107" s="8" t="s">
        <v>1046</v>
      </c>
      <c r="F107" s="8" t="s">
        <v>1056</v>
      </c>
      <c r="G107" s="8" t="s">
        <v>119</v>
      </c>
      <c r="H107" s="8" t="s">
        <v>1057</v>
      </c>
      <c r="I107" s="8" t="s">
        <v>165</v>
      </c>
      <c r="J107" s="8" t="s">
        <v>167</v>
      </c>
      <c r="K107" s="11" t="s">
        <v>87</v>
      </c>
      <c r="L107" s="8"/>
      <c r="M107" s="8"/>
    </row>
    <row r="108" ht="15.75" customHeight="1">
      <c r="A108" s="23" t="s">
        <v>1058</v>
      </c>
      <c r="B108" s="23" t="s">
        <v>1016</v>
      </c>
      <c r="C108" s="23" t="s">
        <v>961</v>
      </c>
      <c r="D108" s="23" t="s">
        <v>1059</v>
      </c>
      <c r="E108" s="23" t="s">
        <v>1060</v>
      </c>
      <c r="F108" s="23" t="s">
        <v>1061</v>
      </c>
      <c r="G108" s="23" t="s">
        <v>119</v>
      </c>
      <c r="H108" s="23" t="s">
        <v>1062</v>
      </c>
      <c r="I108" s="23" t="s">
        <v>71</v>
      </c>
      <c r="J108" s="23" t="s">
        <v>73</v>
      </c>
      <c r="K108" s="24" t="s">
        <v>957</v>
      </c>
      <c r="L108" s="23"/>
      <c r="M108" s="24" t="s">
        <v>1063</v>
      </c>
      <c r="N108" s="25"/>
      <c r="O108" s="25"/>
      <c r="P108" s="25"/>
      <c r="Q108" s="25"/>
      <c r="R108" s="25"/>
      <c r="S108" s="25"/>
      <c r="T108" s="25"/>
      <c r="U108" s="25"/>
      <c r="V108" s="25"/>
      <c r="W108" s="25"/>
      <c r="X108" s="25"/>
      <c r="Y108" s="25"/>
      <c r="Z108" s="25"/>
    </row>
    <row r="109" ht="15.75" customHeight="1">
      <c r="A109" s="8" t="s">
        <v>1064</v>
      </c>
      <c r="B109" s="8" t="s">
        <v>1065</v>
      </c>
      <c r="C109" s="8" t="s">
        <v>1066</v>
      </c>
      <c r="D109" s="8" t="s">
        <v>1067</v>
      </c>
      <c r="E109" s="8" t="s">
        <v>1068</v>
      </c>
      <c r="F109" s="8" t="s">
        <v>1069</v>
      </c>
      <c r="G109" s="8" t="s">
        <v>119</v>
      </c>
      <c r="H109" s="8" t="s">
        <v>1070</v>
      </c>
      <c r="I109" s="8" t="s">
        <v>125</v>
      </c>
      <c r="J109" s="8" t="s">
        <v>73</v>
      </c>
      <c r="K109" s="11" t="s">
        <v>87</v>
      </c>
      <c r="L109" s="8"/>
      <c r="M109" s="8"/>
    </row>
    <row r="110" ht="15.75" customHeight="1">
      <c r="A110" s="7" t="s">
        <v>1071</v>
      </c>
      <c r="B110" s="7" t="s">
        <v>1065</v>
      </c>
      <c r="C110" s="7" t="s">
        <v>1066</v>
      </c>
      <c r="D110" s="7" t="s">
        <v>1072</v>
      </c>
      <c r="E110" s="7" t="s">
        <v>1073</v>
      </c>
      <c r="F110" s="7" t="s">
        <v>1074</v>
      </c>
      <c r="G110" s="7" t="s">
        <v>119</v>
      </c>
      <c r="H110" s="7" t="s">
        <v>1075</v>
      </c>
      <c r="I110" s="7" t="s">
        <v>165</v>
      </c>
      <c r="J110" s="7" t="s">
        <v>73</v>
      </c>
      <c r="K110" s="10" t="s">
        <v>87</v>
      </c>
      <c r="L110" s="7"/>
      <c r="M110" s="7"/>
    </row>
    <row r="111" ht="15.75" customHeight="1">
      <c r="A111" s="8" t="s">
        <v>1076</v>
      </c>
      <c r="B111" s="8" t="s">
        <v>1065</v>
      </c>
      <c r="C111" s="8" t="s">
        <v>1066</v>
      </c>
      <c r="D111" s="8" t="s">
        <v>1077</v>
      </c>
      <c r="E111" s="8" t="s">
        <v>1073</v>
      </c>
      <c r="F111" s="8" t="s">
        <v>1078</v>
      </c>
      <c r="G111" s="8" t="s">
        <v>119</v>
      </c>
      <c r="H111" s="8" t="s">
        <v>1075</v>
      </c>
      <c r="I111" s="8" t="s">
        <v>165</v>
      </c>
      <c r="J111" s="8" t="s">
        <v>73</v>
      </c>
      <c r="K111" s="11" t="s">
        <v>87</v>
      </c>
      <c r="L111" s="8"/>
      <c r="M111" s="8"/>
    </row>
    <row r="112" ht="15.75" customHeight="1">
      <c r="A112" s="26" t="s">
        <v>1079</v>
      </c>
      <c r="B112" s="26" t="s">
        <v>1065</v>
      </c>
      <c r="C112" s="26" t="s">
        <v>1066</v>
      </c>
      <c r="D112" s="26" t="s">
        <v>1080</v>
      </c>
      <c r="E112" s="26" t="s">
        <v>1081</v>
      </c>
      <c r="F112" s="26" t="s">
        <v>1082</v>
      </c>
      <c r="G112" s="26" t="s">
        <v>1083</v>
      </c>
      <c r="H112" s="26" t="s">
        <v>1084</v>
      </c>
      <c r="I112" s="26" t="s">
        <v>71</v>
      </c>
      <c r="J112" s="26" t="s">
        <v>73</v>
      </c>
      <c r="K112" s="27" t="s">
        <v>87</v>
      </c>
      <c r="L112" s="26"/>
      <c r="M112" s="26"/>
      <c r="N112" s="28"/>
      <c r="O112" s="28"/>
      <c r="P112" s="28"/>
      <c r="Q112" s="28"/>
      <c r="R112" s="28"/>
      <c r="S112" s="28"/>
      <c r="T112" s="28"/>
      <c r="U112" s="28"/>
      <c r="V112" s="28"/>
      <c r="W112" s="28"/>
      <c r="X112" s="28"/>
      <c r="Y112" s="28"/>
      <c r="Z112" s="28"/>
    </row>
    <row r="113" ht="15.75" customHeight="1">
      <c r="A113" s="8" t="s">
        <v>1085</v>
      </c>
      <c r="B113" s="8" t="s">
        <v>1065</v>
      </c>
      <c r="C113" s="8" t="s">
        <v>1066</v>
      </c>
      <c r="D113" s="8" t="s">
        <v>1086</v>
      </c>
      <c r="E113" s="8" t="s">
        <v>1081</v>
      </c>
      <c r="F113" s="8" t="s">
        <v>1087</v>
      </c>
      <c r="G113" s="8" t="s">
        <v>119</v>
      </c>
      <c r="H113" s="8" t="s">
        <v>1088</v>
      </c>
      <c r="I113" s="8" t="s">
        <v>71</v>
      </c>
      <c r="J113" s="8" t="s">
        <v>73</v>
      </c>
      <c r="K113" s="11" t="s">
        <v>87</v>
      </c>
      <c r="L113" s="8"/>
      <c r="M113" s="11" t="s">
        <v>1089</v>
      </c>
    </row>
    <row r="114" ht="15.75" customHeight="1">
      <c r="A114" s="23" t="s">
        <v>1090</v>
      </c>
      <c r="B114" s="23" t="s">
        <v>1065</v>
      </c>
      <c r="C114" s="23" t="s">
        <v>1066</v>
      </c>
      <c r="D114" s="23" t="s">
        <v>1091</v>
      </c>
      <c r="E114" s="23" t="s">
        <v>1081</v>
      </c>
      <c r="F114" s="23" t="s">
        <v>1092</v>
      </c>
      <c r="G114" s="23" t="s">
        <v>119</v>
      </c>
      <c r="H114" s="23" t="s">
        <v>1093</v>
      </c>
      <c r="I114" s="23" t="s">
        <v>125</v>
      </c>
      <c r="J114" s="23" t="s">
        <v>73</v>
      </c>
      <c r="K114" s="24" t="s">
        <v>957</v>
      </c>
      <c r="L114" s="23"/>
      <c r="M114" s="24" t="s">
        <v>1094</v>
      </c>
      <c r="N114" s="25"/>
      <c r="O114" s="25"/>
      <c r="P114" s="25"/>
      <c r="Q114" s="25"/>
      <c r="R114" s="25"/>
      <c r="S114" s="25"/>
      <c r="T114" s="25"/>
      <c r="U114" s="25"/>
      <c r="V114" s="25"/>
      <c r="W114" s="25"/>
      <c r="X114" s="25"/>
      <c r="Y114" s="25"/>
      <c r="Z114" s="25"/>
    </row>
    <row r="115" ht="15.75" customHeight="1">
      <c r="A115" s="23" t="s">
        <v>1095</v>
      </c>
      <c r="B115" s="23" t="s">
        <v>1065</v>
      </c>
      <c r="C115" s="23" t="s">
        <v>1066</v>
      </c>
      <c r="D115" s="23" t="s">
        <v>1096</v>
      </c>
      <c r="E115" s="23" t="s">
        <v>1081</v>
      </c>
      <c r="F115" s="23" t="s">
        <v>1097</v>
      </c>
      <c r="G115" s="23" t="s">
        <v>119</v>
      </c>
      <c r="H115" s="23" t="s">
        <v>1098</v>
      </c>
      <c r="I115" s="23" t="s">
        <v>125</v>
      </c>
      <c r="J115" s="23" t="s">
        <v>73</v>
      </c>
      <c r="K115" s="24" t="s">
        <v>957</v>
      </c>
      <c r="L115" s="23"/>
      <c r="M115" s="24" t="s">
        <v>1099</v>
      </c>
      <c r="N115" s="25"/>
      <c r="O115" s="25"/>
      <c r="P115" s="25"/>
      <c r="Q115" s="25"/>
      <c r="R115" s="25"/>
      <c r="S115" s="25"/>
      <c r="T115" s="25"/>
      <c r="U115" s="25"/>
      <c r="V115" s="25"/>
      <c r="W115" s="25"/>
      <c r="X115" s="25"/>
      <c r="Y115" s="25"/>
      <c r="Z115" s="25"/>
    </row>
    <row r="116" ht="15.75" customHeight="1">
      <c r="A116" s="8" t="s">
        <v>1100</v>
      </c>
      <c r="B116" s="8" t="s">
        <v>1065</v>
      </c>
      <c r="C116" s="8" t="s">
        <v>1066</v>
      </c>
      <c r="D116" s="8" t="s">
        <v>1101</v>
      </c>
      <c r="E116" s="8" t="s">
        <v>1102</v>
      </c>
      <c r="F116" s="8" t="s">
        <v>1103</v>
      </c>
      <c r="G116" s="8" t="s">
        <v>1104</v>
      </c>
      <c r="H116" s="8" t="s">
        <v>1105</v>
      </c>
      <c r="I116" s="8" t="s">
        <v>125</v>
      </c>
      <c r="J116" s="8" t="s">
        <v>73</v>
      </c>
      <c r="K116" s="11" t="s">
        <v>87</v>
      </c>
      <c r="L116" s="8"/>
      <c r="M116" s="8"/>
    </row>
    <row r="117" ht="15.75" customHeight="1">
      <c r="A117" s="8" t="s">
        <v>1106</v>
      </c>
      <c r="B117" s="8" t="s">
        <v>1065</v>
      </c>
      <c r="C117" s="8" t="s">
        <v>1066</v>
      </c>
      <c r="D117" s="8" t="s">
        <v>1107</v>
      </c>
      <c r="E117" s="8" t="s">
        <v>1073</v>
      </c>
      <c r="F117" s="8" t="s">
        <v>1108</v>
      </c>
      <c r="G117" s="8" t="s">
        <v>119</v>
      </c>
      <c r="H117" s="8" t="s">
        <v>1109</v>
      </c>
      <c r="I117" s="8" t="s">
        <v>71</v>
      </c>
      <c r="J117" s="8" t="s">
        <v>73</v>
      </c>
      <c r="K117" s="11" t="s">
        <v>87</v>
      </c>
      <c r="L117" s="8"/>
      <c r="M117" s="8"/>
    </row>
    <row r="118" ht="15.75" customHeight="1">
      <c r="A118" s="8" t="s">
        <v>1110</v>
      </c>
      <c r="B118" s="8" t="s">
        <v>1065</v>
      </c>
      <c r="C118" s="8" t="s">
        <v>1066</v>
      </c>
      <c r="D118" s="8" t="s">
        <v>1111</v>
      </c>
      <c r="E118" s="8" t="s">
        <v>1112</v>
      </c>
      <c r="F118" s="8" t="s">
        <v>1113</v>
      </c>
      <c r="G118" s="8" t="s">
        <v>119</v>
      </c>
      <c r="H118" s="8" t="s">
        <v>1114</v>
      </c>
      <c r="I118" s="8" t="s">
        <v>165</v>
      </c>
      <c r="J118" s="8" t="s">
        <v>73</v>
      </c>
      <c r="K118" s="11" t="s">
        <v>87</v>
      </c>
      <c r="L118" s="8"/>
      <c r="M118" s="8"/>
    </row>
    <row r="119" ht="15.75" customHeight="1">
      <c r="A119" s="8" t="s">
        <v>1115</v>
      </c>
      <c r="B119" s="8" t="s">
        <v>1065</v>
      </c>
      <c r="C119" s="8" t="s">
        <v>1066</v>
      </c>
      <c r="D119" s="8" t="s">
        <v>1116</v>
      </c>
      <c r="E119" s="8" t="s">
        <v>1117</v>
      </c>
      <c r="F119" s="8" t="s">
        <v>1118</v>
      </c>
      <c r="G119" s="8" t="s">
        <v>119</v>
      </c>
      <c r="H119" s="8" t="s">
        <v>1119</v>
      </c>
      <c r="I119" s="8" t="s">
        <v>125</v>
      </c>
      <c r="J119" s="8" t="s">
        <v>73</v>
      </c>
      <c r="K119" s="11" t="s">
        <v>87</v>
      </c>
      <c r="L119" s="8"/>
      <c r="M119" s="8"/>
    </row>
    <row r="120" ht="15.75" customHeight="1">
      <c r="A120" s="8" t="s">
        <v>1120</v>
      </c>
      <c r="B120" s="8" t="s">
        <v>1065</v>
      </c>
      <c r="C120" s="8" t="s">
        <v>1066</v>
      </c>
      <c r="D120" s="8" t="s">
        <v>1121</v>
      </c>
      <c r="E120" s="8" t="s">
        <v>1117</v>
      </c>
      <c r="F120" s="8" t="s">
        <v>1122</v>
      </c>
      <c r="G120" s="8" t="s">
        <v>119</v>
      </c>
      <c r="H120" s="8" t="s">
        <v>1123</v>
      </c>
      <c r="I120" s="8" t="s">
        <v>125</v>
      </c>
      <c r="J120" s="8" t="s">
        <v>73</v>
      </c>
      <c r="K120" s="11" t="s">
        <v>87</v>
      </c>
      <c r="L120" s="8"/>
      <c r="M120" s="11" t="s">
        <v>1124</v>
      </c>
    </row>
    <row r="121" ht="15.75" customHeight="1">
      <c r="A121" s="8" t="s">
        <v>1125</v>
      </c>
      <c r="B121" s="8" t="s">
        <v>1126</v>
      </c>
      <c r="C121" s="8" t="s">
        <v>1127</v>
      </c>
      <c r="D121" s="8" t="s">
        <v>1128</v>
      </c>
      <c r="E121" s="8" t="s">
        <v>1129</v>
      </c>
      <c r="F121" s="8" t="s">
        <v>1130</v>
      </c>
      <c r="G121" s="8" t="s">
        <v>27</v>
      </c>
      <c r="H121" s="8" t="s">
        <v>1131</v>
      </c>
      <c r="I121" s="8" t="s">
        <v>125</v>
      </c>
      <c r="J121" s="8" t="s">
        <v>73</v>
      </c>
      <c r="K121" s="11" t="s">
        <v>87</v>
      </c>
      <c r="L121" s="8"/>
      <c r="M121" s="8"/>
    </row>
    <row r="122" ht="15.75" customHeight="1">
      <c r="A122" s="7" t="s">
        <v>1132</v>
      </c>
      <c r="B122" s="7" t="s">
        <v>1126</v>
      </c>
      <c r="C122" s="7" t="s">
        <v>1127</v>
      </c>
      <c r="D122" s="7" t="s">
        <v>1133</v>
      </c>
      <c r="E122" s="7" t="s">
        <v>1134</v>
      </c>
      <c r="F122" s="7" t="s">
        <v>1135</v>
      </c>
      <c r="G122" s="7" t="s">
        <v>119</v>
      </c>
      <c r="H122" s="7" t="s">
        <v>1136</v>
      </c>
      <c r="I122" s="7" t="s">
        <v>125</v>
      </c>
      <c r="J122" s="7" t="s">
        <v>73</v>
      </c>
      <c r="K122" s="10" t="s">
        <v>87</v>
      </c>
      <c r="L122" s="7"/>
      <c r="M122" s="7"/>
    </row>
    <row r="123" ht="15.75" customHeight="1">
      <c r="A123" s="8" t="s">
        <v>1137</v>
      </c>
      <c r="B123" s="8" t="s">
        <v>1126</v>
      </c>
      <c r="C123" s="8" t="s">
        <v>1127</v>
      </c>
      <c r="D123" s="8" t="s">
        <v>1138</v>
      </c>
      <c r="E123" s="8" t="s">
        <v>1139</v>
      </c>
      <c r="F123" s="8" t="s">
        <v>1140</v>
      </c>
      <c r="G123" s="8" t="s">
        <v>119</v>
      </c>
      <c r="H123" s="8" t="s">
        <v>1141</v>
      </c>
      <c r="I123" s="8" t="s">
        <v>344</v>
      </c>
      <c r="J123" s="8" t="s">
        <v>73</v>
      </c>
      <c r="K123" s="11" t="s">
        <v>87</v>
      </c>
      <c r="L123" s="8"/>
      <c r="M123" s="8"/>
    </row>
    <row r="124" ht="149.25" customHeight="1">
      <c r="A124" s="26" t="s">
        <v>1142</v>
      </c>
      <c r="B124" s="26" t="s">
        <v>1126</v>
      </c>
      <c r="C124" s="26" t="s">
        <v>1127</v>
      </c>
      <c r="D124" s="26" t="s">
        <v>1143</v>
      </c>
      <c r="E124" s="26" t="s">
        <v>1144</v>
      </c>
      <c r="F124" s="26" t="s">
        <v>1145</v>
      </c>
      <c r="G124" s="26" t="s">
        <v>119</v>
      </c>
      <c r="H124" s="26" t="s">
        <v>1146</v>
      </c>
      <c r="I124" s="26" t="s">
        <v>165</v>
      </c>
      <c r="J124" s="26" t="s">
        <v>73</v>
      </c>
      <c r="K124" s="27" t="s">
        <v>957</v>
      </c>
      <c r="L124" s="26"/>
      <c r="M124" s="26"/>
      <c r="N124" s="28"/>
      <c r="O124" s="28"/>
      <c r="P124" s="28"/>
      <c r="Q124" s="28"/>
      <c r="R124" s="28"/>
      <c r="S124" s="28"/>
      <c r="T124" s="28"/>
      <c r="U124" s="28"/>
      <c r="V124" s="28"/>
      <c r="W124" s="28"/>
      <c r="X124" s="28"/>
      <c r="Y124" s="28"/>
      <c r="Z124" s="28"/>
    </row>
    <row r="125" ht="15.75" customHeight="1">
      <c r="A125" s="26" t="s">
        <v>1147</v>
      </c>
      <c r="B125" s="26" t="s">
        <v>1126</v>
      </c>
      <c r="C125" s="26" t="s">
        <v>1127</v>
      </c>
      <c r="D125" s="26" t="s">
        <v>1148</v>
      </c>
      <c r="E125" s="26" t="s">
        <v>512</v>
      </c>
      <c r="F125" s="26" t="s">
        <v>1149</v>
      </c>
      <c r="G125" s="26" t="s">
        <v>119</v>
      </c>
      <c r="H125" s="26" t="s">
        <v>1150</v>
      </c>
      <c r="I125" s="26" t="s">
        <v>125</v>
      </c>
      <c r="J125" s="26" t="s">
        <v>73</v>
      </c>
      <c r="K125" s="27" t="s">
        <v>87</v>
      </c>
      <c r="L125" s="26"/>
      <c r="M125" s="26"/>
      <c r="N125" s="28"/>
      <c r="O125" s="28"/>
      <c r="P125" s="28"/>
      <c r="Q125" s="28"/>
      <c r="R125" s="28"/>
      <c r="S125" s="28"/>
      <c r="T125" s="28"/>
      <c r="U125" s="28"/>
      <c r="V125" s="28"/>
      <c r="W125" s="28"/>
      <c r="X125" s="28"/>
      <c r="Y125" s="28"/>
      <c r="Z125" s="28"/>
    </row>
    <row r="126" ht="15.75" customHeight="1">
      <c r="A126" s="26" t="s">
        <v>1151</v>
      </c>
      <c r="B126" s="26" t="s">
        <v>1126</v>
      </c>
      <c r="C126" s="26" t="s">
        <v>1127</v>
      </c>
      <c r="D126" s="26" t="s">
        <v>1152</v>
      </c>
      <c r="E126" s="26" t="s">
        <v>512</v>
      </c>
      <c r="F126" s="26" t="s">
        <v>1153</v>
      </c>
      <c r="G126" s="26" t="s">
        <v>119</v>
      </c>
      <c r="H126" s="26" t="s">
        <v>1154</v>
      </c>
      <c r="I126" s="26" t="s">
        <v>125</v>
      </c>
      <c r="J126" s="26" t="s">
        <v>73</v>
      </c>
      <c r="K126" s="27" t="s">
        <v>957</v>
      </c>
      <c r="L126" s="26"/>
      <c r="M126" s="26"/>
      <c r="N126" s="28"/>
      <c r="O126" s="28"/>
      <c r="P126" s="28"/>
      <c r="Q126" s="28"/>
      <c r="R126" s="28"/>
      <c r="S126" s="28"/>
      <c r="T126" s="28"/>
      <c r="U126" s="28"/>
      <c r="V126" s="28"/>
      <c r="W126" s="28"/>
      <c r="X126" s="28"/>
      <c r="Y126" s="28"/>
      <c r="Z126" s="28"/>
    </row>
    <row r="127" ht="15.75" customHeight="1">
      <c r="A127" s="26" t="s">
        <v>1155</v>
      </c>
      <c r="B127" s="26" t="s">
        <v>1126</v>
      </c>
      <c r="C127" s="26" t="s">
        <v>1127</v>
      </c>
      <c r="D127" s="26" t="s">
        <v>1156</v>
      </c>
      <c r="E127" s="26" t="s">
        <v>1157</v>
      </c>
      <c r="F127" s="26" t="s">
        <v>1158</v>
      </c>
      <c r="G127" s="26" t="s">
        <v>1159</v>
      </c>
      <c r="H127" s="26" t="s">
        <v>1160</v>
      </c>
      <c r="I127" s="26" t="s">
        <v>165</v>
      </c>
      <c r="J127" s="26" t="s">
        <v>73</v>
      </c>
      <c r="K127" s="27" t="s">
        <v>957</v>
      </c>
      <c r="L127" s="26"/>
      <c r="M127" s="26"/>
      <c r="N127" s="28"/>
      <c r="O127" s="28"/>
      <c r="P127" s="28"/>
      <c r="Q127" s="28"/>
      <c r="R127" s="28"/>
      <c r="S127" s="28"/>
      <c r="T127" s="28"/>
      <c r="U127" s="28"/>
      <c r="V127" s="28"/>
      <c r="W127" s="28"/>
      <c r="X127" s="28"/>
      <c r="Y127" s="28"/>
      <c r="Z127" s="28"/>
    </row>
    <row r="128" ht="15.75" customHeight="1">
      <c r="A128" s="26" t="s">
        <v>1161</v>
      </c>
      <c r="B128" s="26" t="s">
        <v>1126</v>
      </c>
      <c r="C128" s="26" t="s">
        <v>1127</v>
      </c>
      <c r="D128" s="26" t="s">
        <v>1162</v>
      </c>
      <c r="E128" s="26" t="s">
        <v>1157</v>
      </c>
      <c r="F128" s="26" t="s">
        <v>1163</v>
      </c>
      <c r="G128" s="26" t="s">
        <v>119</v>
      </c>
      <c r="H128" s="26" t="s">
        <v>1164</v>
      </c>
      <c r="I128" s="26" t="s">
        <v>125</v>
      </c>
      <c r="J128" s="26" t="s">
        <v>73</v>
      </c>
      <c r="K128" s="27" t="s">
        <v>957</v>
      </c>
      <c r="L128" s="26"/>
      <c r="M128" s="26"/>
      <c r="N128" s="28"/>
      <c r="O128" s="28"/>
      <c r="P128" s="28"/>
      <c r="Q128" s="28"/>
      <c r="R128" s="28"/>
      <c r="S128" s="28"/>
      <c r="T128" s="28"/>
      <c r="U128" s="28"/>
      <c r="V128" s="28"/>
      <c r="W128" s="28"/>
      <c r="X128" s="28"/>
      <c r="Y128" s="28"/>
      <c r="Z128" s="28"/>
    </row>
    <row r="129" ht="15.75" customHeight="1">
      <c r="A129" s="29" t="s">
        <v>1165</v>
      </c>
      <c r="B129" s="29" t="s">
        <v>1126</v>
      </c>
      <c r="C129" s="29" t="s">
        <v>1127</v>
      </c>
      <c r="D129" s="29" t="s">
        <v>1166</v>
      </c>
      <c r="E129" s="29" t="s">
        <v>1167</v>
      </c>
      <c r="F129" s="29" t="s">
        <v>1168</v>
      </c>
      <c r="G129" s="29" t="s">
        <v>119</v>
      </c>
      <c r="H129" s="29" t="s">
        <v>1169</v>
      </c>
      <c r="I129" s="29" t="s">
        <v>165</v>
      </c>
      <c r="J129" s="29" t="s">
        <v>167</v>
      </c>
      <c r="K129" s="29" t="s">
        <v>168</v>
      </c>
      <c r="L129" s="29"/>
      <c r="M129" s="29"/>
      <c r="N129" s="30"/>
      <c r="O129" s="30"/>
      <c r="P129" s="30"/>
      <c r="Q129" s="30"/>
      <c r="R129" s="30"/>
      <c r="S129" s="30"/>
      <c r="T129" s="30"/>
      <c r="U129" s="30"/>
      <c r="V129" s="30"/>
      <c r="W129" s="30"/>
      <c r="X129" s="30"/>
      <c r="Y129" s="30"/>
      <c r="Z129" s="30"/>
    </row>
    <row r="130" ht="15.75" customHeight="1">
      <c r="A130" s="29" t="s">
        <v>1170</v>
      </c>
      <c r="B130" s="29" t="s">
        <v>1126</v>
      </c>
      <c r="C130" s="29" t="s">
        <v>1127</v>
      </c>
      <c r="D130" s="29" t="s">
        <v>1171</v>
      </c>
      <c r="E130" s="29" t="s">
        <v>1172</v>
      </c>
      <c r="F130" s="29" t="s">
        <v>1173</v>
      </c>
      <c r="G130" s="29" t="s">
        <v>119</v>
      </c>
      <c r="H130" s="29" t="s">
        <v>1174</v>
      </c>
      <c r="I130" s="29" t="s">
        <v>165</v>
      </c>
      <c r="J130" s="29" t="s">
        <v>167</v>
      </c>
      <c r="K130" s="29" t="s">
        <v>168</v>
      </c>
      <c r="L130" s="29"/>
      <c r="M130" s="29"/>
      <c r="N130" s="30"/>
      <c r="O130" s="30"/>
      <c r="P130" s="30"/>
      <c r="Q130" s="30"/>
      <c r="R130" s="30"/>
      <c r="S130" s="30"/>
      <c r="T130" s="30"/>
      <c r="U130" s="30"/>
      <c r="V130" s="30"/>
      <c r="W130" s="30"/>
      <c r="X130" s="30"/>
      <c r="Y130" s="30"/>
      <c r="Z130" s="30"/>
    </row>
    <row r="131" ht="15.75" customHeight="1">
      <c r="A131" s="29" t="s">
        <v>1175</v>
      </c>
      <c r="B131" s="29" t="s">
        <v>1126</v>
      </c>
      <c r="C131" s="29" t="s">
        <v>1127</v>
      </c>
      <c r="D131" s="29" t="s">
        <v>1176</v>
      </c>
      <c r="E131" s="29" t="s">
        <v>1177</v>
      </c>
      <c r="F131" s="29" t="s">
        <v>1178</v>
      </c>
      <c r="G131" s="29" t="s">
        <v>119</v>
      </c>
      <c r="H131" s="29" t="s">
        <v>1179</v>
      </c>
      <c r="I131" s="29" t="s">
        <v>125</v>
      </c>
      <c r="J131" s="29" t="s">
        <v>73</v>
      </c>
      <c r="K131" s="29" t="s">
        <v>168</v>
      </c>
      <c r="L131" s="29"/>
      <c r="M131" s="29"/>
      <c r="N131" s="30"/>
      <c r="O131" s="30"/>
      <c r="P131" s="30"/>
      <c r="Q131" s="30"/>
      <c r="R131" s="30"/>
      <c r="S131" s="30"/>
      <c r="T131" s="30"/>
      <c r="U131" s="30"/>
      <c r="V131" s="30"/>
      <c r="W131" s="30"/>
      <c r="X131" s="30"/>
      <c r="Y131" s="30"/>
      <c r="Z131" s="30"/>
    </row>
    <row r="132" ht="15.75" customHeight="1">
      <c r="A132" s="29" t="s">
        <v>1180</v>
      </c>
      <c r="B132" s="29" t="s">
        <v>1126</v>
      </c>
      <c r="C132" s="29" t="s">
        <v>1127</v>
      </c>
      <c r="D132" s="29" t="s">
        <v>1181</v>
      </c>
      <c r="E132" s="29" t="s">
        <v>1182</v>
      </c>
      <c r="F132" s="29" t="s">
        <v>1183</v>
      </c>
      <c r="G132" s="29" t="s">
        <v>119</v>
      </c>
      <c r="H132" s="29" t="s">
        <v>1184</v>
      </c>
      <c r="I132" s="29" t="s">
        <v>71</v>
      </c>
      <c r="J132" s="29" t="s">
        <v>73</v>
      </c>
      <c r="K132" s="29" t="s">
        <v>168</v>
      </c>
      <c r="L132" s="29"/>
      <c r="M132" s="29"/>
      <c r="N132" s="30"/>
      <c r="O132" s="30"/>
      <c r="P132" s="30"/>
      <c r="Q132" s="30"/>
      <c r="R132" s="30"/>
      <c r="S132" s="30"/>
      <c r="T132" s="30"/>
      <c r="U132" s="30"/>
      <c r="V132" s="30"/>
      <c r="W132" s="30"/>
      <c r="X132" s="30"/>
      <c r="Y132" s="30"/>
      <c r="Z132" s="30"/>
    </row>
    <row r="133" ht="15.75" customHeight="1">
      <c r="A133" s="29" t="s">
        <v>1185</v>
      </c>
      <c r="B133" s="29" t="s">
        <v>1126</v>
      </c>
      <c r="C133" s="29" t="s">
        <v>1127</v>
      </c>
      <c r="D133" s="29" t="s">
        <v>1186</v>
      </c>
      <c r="E133" s="29" t="s">
        <v>1187</v>
      </c>
      <c r="F133" s="29" t="s">
        <v>1188</v>
      </c>
      <c r="G133" s="29" t="s">
        <v>119</v>
      </c>
      <c r="H133" s="29" t="s">
        <v>1189</v>
      </c>
      <c r="I133" s="29" t="s">
        <v>165</v>
      </c>
      <c r="J133" s="29" t="s">
        <v>73</v>
      </c>
      <c r="K133" s="29" t="s">
        <v>168</v>
      </c>
      <c r="L133" s="29"/>
      <c r="M133" s="29"/>
      <c r="N133" s="30"/>
      <c r="O133" s="30"/>
      <c r="P133" s="30"/>
      <c r="Q133" s="30"/>
      <c r="R133" s="30"/>
      <c r="S133" s="30"/>
      <c r="T133" s="30"/>
      <c r="U133" s="30"/>
      <c r="V133" s="30"/>
      <c r="W133" s="30"/>
      <c r="X133" s="30"/>
      <c r="Y133" s="30"/>
      <c r="Z133" s="30"/>
    </row>
    <row r="134" ht="15.75" customHeight="1">
      <c r="A134" s="29" t="s">
        <v>1190</v>
      </c>
      <c r="B134" s="29" t="s">
        <v>1126</v>
      </c>
      <c r="C134" s="29" t="s">
        <v>1127</v>
      </c>
      <c r="D134" s="29" t="s">
        <v>1191</v>
      </c>
      <c r="E134" s="29" t="s">
        <v>298</v>
      </c>
      <c r="F134" s="29" t="s">
        <v>1192</v>
      </c>
      <c r="G134" s="29" t="s">
        <v>119</v>
      </c>
      <c r="H134" s="29" t="s">
        <v>1193</v>
      </c>
      <c r="I134" s="29" t="s">
        <v>125</v>
      </c>
      <c r="J134" s="29" t="s">
        <v>73</v>
      </c>
      <c r="K134" s="29" t="s">
        <v>168</v>
      </c>
      <c r="L134" s="29"/>
      <c r="M134" s="29"/>
      <c r="N134" s="30"/>
      <c r="O134" s="30"/>
      <c r="P134" s="30"/>
      <c r="Q134" s="30"/>
      <c r="R134" s="30"/>
      <c r="S134" s="30"/>
      <c r="T134" s="30"/>
      <c r="U134" s="30"/>
      <c r="V134" s="30"/>
      <c r="W134" s="30"/>
      <c r="X134" s="30"/>
      <c r="Y134" s="30"/>
      <c r="Z134" s="30"/>
    </row>
    <row r="135" ht="15.75" customHeight="1">
      <c r="A135" s="29" t="s">
        <v>1194</v>
      </c>
      <c r="B135" s="29" t="s">
        <v>1126</v>
      </c>
      <c r="C135" s="29" t="s">
        <v>1127</v>
      </c>
      <c r="D135" s="29" t="s">
        <v>1195</v>
      </c>
      <c r="E135" s="29" t="s">
        <v>298</v>
      </c>
      <c r="F135" s="29" t="s">
        <v>1196</v>
      </c>
      <c r="G135" s="29" t="s">
        <v>1197</v>
      </c>
      <c r="H135" s="29" t="s">
        <v>1198</v>
      </c>
      <c r="I135" s="29" t="s">
        <v>125</v>
      </c>
      <c r="J135" s="29" t="s">
        <v>73</v>
      </c>
      <c r="K135" s="29" t="s">
        <v>168</v>
      </c>
      <c r="L135" s="29"/>
      <c r="M135" s="29"/>
      <c r="N135" s="30"/>
      <c r="O135" s="30"/>
      <c r="P135" s="30"/>
      <c r="Q135" s="30"/>
      <c r="R135" s="30"/>
      <c r="S135" s="30"/>
      <c r="T135" s="30"/>
      <c r="U135" s="30"/>
      <c r="V135" s="30"/>
      <c r="W135" s="30"/>
      <c r="X135" s="30"/>
      <c r="Y135" s="30"/>
      <c r="Z135" s="30"/>
    </row>
    <row r="136" ht="15.75" customHeight="1">
      <c r="A136" s="29" t="s">
        <v>1199</v>
      </c>
      <c r="B136" s="29" t="s">
        <v>1126</v>
      </c>
      <c r="C136" s="29" t="s">
        <v>1127</v>
      </c>
      <c r="D136" s="29" t="s">
        <v>1200</v>
      </c>
      <c r="E136" s="29" t="s">
        <v>298</v>
      </c>
      <c r="F136" s="29" t="s">
        <v>1201</v>
      </c>
      <c r="G136" s="29" t="s">
        <v>1202</v>
      </c>
      <c r="H136" s="29" t="s">
        <v>1203</v>
      </c>
      <c r="I136" s="29" t="s">
        <v>125</v>
      </c>
      <c r="J136" s="29" t="s">
        <v>73</v>
      </c>
      <c r="K136" s="29" t="s">
        <v>168</v>
      </c>
      <c r="L136" s="29"/>
      <c r="M136" s="29"/>
      <c r="N136" s="30"/>
      <c r="O136" s="30"/>
      <c r="P136" s="30"/>
      <c r="Q136" s="30"/>
      <c r="R136" s="30"/>
      <c r="S136" s="30"/>
      <c r="T136" s="30"/>
      <c r="U136" s="30"/>
      <c r="V136" s="30"/>
      <c r="W136" s="30"/>
      <c r="X136" s="30"/>
      <c r="Y136" s="30"/>
      <c r="Z136" s="30"/>
    </row>
    <row r="137" ht="15.75" customHeight="1">
      <c r="A137" s="29" t="s">
        <v>1204</v>
      </c>
      <c r="B137" s="29" t="s">
        <v>1126</v>
      </c>
      <c r="C137" s="29" t="s">
        <v>1127</v>
      </c>
      <c r="D137" s="29" t="s">
        <v>1205</v>
      </c>
      <c r="E137" s="29" t="s">
        <v>1206</v>
      </c>
      <c r="F137" s="29" t="s">
        <v>1207</v>
      </c>
      <c r="G137" s="29" t="s">
        <v>119</v>
      </c>
      <c r="H137" s="29" t="s">
        <v>1208</v>
      </c>
      <c r="I137" s="29" t="s">
        <v>71</v>
      </c>
      <c r="J137" s="29" t="s">
        <v>73</v>
      </c>
      <c r="K137" s="29" t="s">
        <v>168</v>
      </c>
      <c r="L137" s="29"/>
      <c r="M137" s="29"/>
      <c r="N137" s="30"/>
      <c r="O137" s="30"/>
      <c r="P137" s="30"/>
      <c r="Q137" s="30"/>
      <c r="R137" s="30"/>
      <c r="S137" s="30"/>
      <c r="T137" s="30"/>
      <c r="U137" s="30"/>
      <c r="V137" s="30"/>
      <c r="W137" s="30"/>
      <c r="X137" s="30"/>
      <c r="Y137" s="30"/>
      <c r="Z137" s="30"/>
    </row>
    <row r="138" ht="15.75" customHeight="1">
      <c r="A138" s="29" t="s">
        <v>1209</v>
      </c>
      <c r="B138" s="29" t="s">
        <v>1126</v>
      </c>
      <c r="C138" s="29" t="s">
        <v>1127</v>
      </c>
      <c r="D138" s="29" t="s">
        <v>1210</v>
      </c>
      <c r="E138" s="29" t="s">
        <v>1211</v>
      </c>
      <c r="F138" s="29" t="s">
        <v>1212</v>
      </c>
      <c r="G138" s="29" t="s">
        <v>119</v>
      </c>
      <c r="H138" s="29" t="s">
        <v>865</v>
      </c>
      <c r="I138" s="29" t="s">
        <v>125</v>
      </c>
      <c r="J138" s="29" t="s">
        <v>73</v>
      </c>
      <c r="K138" s="29" t="s">
        <v>168</v>
      </c>
      <c r="L138" s="29"/>
      <c r="M138" s="29"/>
      <c r="N138" s="30"/>
      <c r="O138" s="30"/>
      <c r="P138" s="30"/>
      <c r="Q138" s="30"/>
      <c r="R138" s="30"/>
      <c r="S138" s="30"/>
      <c r="T138" s="30"/>
      <c r="U138" s="30"/>
      <c r="V138" s="30"/>
      <c r="W138" s="30"/>
      <c r="X138" s="30"/>
      <c r="Y138" s="30"/>
      <c r="Z138" s="30"/>
    </row>
    <row r="139" ht="15.75" customHeight="1">
      <c r="A139" s="29" t="s">
        <v>1213</v>
      </c>
      <c r="B139" s="29" t="s">
        <v>1126</v>
      </c>
      <c r="C139" s="29" t="s">
        <v>1127</v>
      </c>
      <c r="D139" s="29" t="s">
        <v>1214</v>
      </c>
      <c r="E139" s="29" t="s">
        <v>1215</v>
      </c>
      <c r="F139" s="29" t="s">
        <v>1216</v>
      </c>
      <c r="G139" s="29" t="s">
        <v>119</v>
      </c>
      <c r="H139" s="29" t="s">
        <v>1217</v>
      </c>
      <c r="I139" s="29" t="s">
        <v>71</v>
      </c>
      <c r="J139" s="29" t="s">
        <v>73</v>
      </c>
      <c r="K139" s="31" t="s">
        <v>87</v>
      </c>
      <c r="L139" s="29"/>
      <c r="M139" s="29"/>
      <c r="N139" s="30"/>
      <c r="O139" s="30"/>
      <c r="P139" s="30"/>
      <c r="Q139" s="30"/>
      <c r="R139" s="30"/>
      <c r="S139" s="30"/>
      <c r="T139" s="30"/>
      <c r="U139" s="30"/>
      <c r="V139" s="30"/>
      <c r="W139" s="30"/>
      <c r="X139" s="30"/>
      <c r="Y139" s="30"/>
      <c r="Z139" s="30"/>
    </row>
    <row r="140" ht="15.75" customHeight="1">
      <c r="A140" s="29" t="s">
        <v>1218</v>
      </c>
      <c r="B140" s="29" t="s">
        <v>1126</v>
      </c>
      <c r="C140" s="29" t="s">
        <v>1127</v>
      </c>
      <c r="D140" s="29" t="s">
        <v>1219</v>
      </c>
      <c r="E140" s="29" t="s">
        <v>1187</v>
      </c>
      <c r="F140" s="29" t="s">
        <v>1220</v>
      </c>
      <c r="G140" s="29" t="s">
        <v>119</v>
      </c>
      <c r="H140" s="29" t="s">
        <v>1221</v>
      </c>
      <c r="I140" s="29" t="s">
        <v>125</v>
      </c>
      <c r="J140" s="29" t="s">
        <v>73</v>
      </c>
      <c r="K140" s="29" t="s">
        <v>168</v>
      </c>
      <c r="L140" s="29"/>
      <c r="M140" s="29"/>
      <c r="N140" s="30"/>
      <c r="O140" s="30"/>
      <c r="P140" s="30"/>
      <c r="Q140" s="30"/>
      <c r="R140" s="30"/>
      <c r="S140" s="30"/>
      <c r="T140" s="30"/>
      <c r="U140" s="30"/>
      <c r="V140" s="30"/>
      <c r="W140" s="30"/>
      <c r="X140" s="30"/>
      <c r="Y140" s="30"/>
      <c r="Z140" s="30"/>
    </row>
    <row r="141" ht="15.75" customHeight="1">
      <c r="A141" s="29" t="s">
        <v>1222</v>
      </c>
      <c r="B141" s="29" t="s">
        <v>1126</v>
      </c>
      <c r="C141" s="29" t="s">
        <v>1127</v>
      </c>
      <c r="D141" s="29" t="s">
        <v>1223</v>
      </c>
      <c r="E141" s="29" t="s">
        <v>1224</v>
      </c>
      <c r="F141" s="29" t="s">
        <v>1225</v>
      </c>
      <c r="G141" s="29" t="s">
        <v>119</v>
      </c>
      <c r="H141" s="29" t="s">
        <v>1226</v>
      </c>
      <c r="I141" s="29" t="s">
        <v>125</v>
      </c>
      <c r="J141" s="29" t="s">
        <v>73</v>
      </c>
      <c r="K141" s="29" t="s">
        <v>168</v>
      </c>
      <c r="L141" s="29"/>
      <c r="M141" s="29"/>
      <c r="N141" s="30"/>
      <c r="O141" s="30"/>
      <c r="P141" s="30"/>
      <c r="Q141" s="30"/>
      <c r="R141" s="30"/>
      <c r="S141" s="30"/>
      <c r="T141" s="30"/>
      <c r="U141" s="30"/>
      <c r="V141" s="30"/>
      <c r="W141" s="30"/>
      <c r="X141" s="30"/>
      <c r="Y141" s="30"/>
      <c r="Z141" s="30"/>
    </row>
    <row r="142" ht="15.75" customHeight="1">
      <c r="A142" s="29" t="s">
        <v>1227</v>
      </c>
      <c r="B142" s="29" t="s">
        <v>1126</v>
      </c>
      <c r="C142" s="29" t="s">
        <v>1127</v>
      </c>
      <c r="D142" s="29" t="s">
        <v>1228</v>
      </c>
      <c r="E142" s="29" t="s">
        <v>1229</v>
      </c>
      <c r="F142" s="29" t="s">
        <v>1153</v>
      </c>
      <c r="G142" s="29" t="s">
        <v>119</v>
      </c>
      <c r="H142" s="29" t="s">
        <v>1230</v>
      </c>
      <c r="I142" s="29" t="s">
        <v>125</v>
      </c>
      <c r="J142" s="29" t="s">
        <v>73</v>
      </c>
      <c r="K142" s="29" t="s">
        <v>168</v>
      </c>
      <c r="L142" s="29"/>
      <c r="M142" s="29"/>
      <c r="N142" s="30"/>
      <c r="O142" s="30"/>
      <c r="P142" s="30"/>
      <c r="Q142" s="30"/>
      <c r="R142" s="30"/>
      <c r="S142" s="30"/>
      <c r="T142" s="30"/>
      <c r="U142" s="30"/>
      <c r="V142" s="30"/>
      <c r="W142" s="30"/>
      <c r="X142" s="30"/>
      <c r="Y142" s="30"/>
      <c r="Z142" s="30"/>
    </row>
    <row r="143" ht="15.75" customHeight="1">
      <c r="A143" s="29" t="s">
        <v>1231</v>
      </c>
      <c r="B143" s="29" t="s">
        <v>1126</v>
      </c>
      <c r="C143" s="29" t="s">
        <v>1127</v>
      </c>
      <c r="D143" s="29" t="s">
        <v>1232</v>
      </c>
      <c r="E143" s="29" t="s">
        <v>1233</v>
      </c>
      <c r="F143" s="29" t="s">
        <v>603</v>
      </c>
      <c r="G143" s="29" t="s">
        <v>119</v>
      </c>
      <c r="H143" s="29" t="s">
        <v>1234</v>
      </c>
      <c r="I143" s="29" t="s">
        <v>125</v>
      </c>
      <c r="J143" s="29" t="s">
        <v>73</v>
      </c>
      <c r="K143" s="29" t="s">
        <v>168</v>
      </c>
      <c r="L143" s="29"/>
      <c r="M143" s="29"/>
      <c r="N143" s="30"/>
      <c r="O143" s="30"/>
      <c r="P143" s="30"/>
      <c r="Q143" s="30"/>
      <c r="R143" s="30"/>
      <c r="S143" s="30"/>
      <c r="T143" s="30"/>
      <c r="U143" s="30"/>
      <c r="V143" s="30"/>
      <c r="W143" s="30"/>
      <c r="X143" s="30"/>
      <c r="Y143" s="30"/>
      <c r="Z143" s="30"/>
    </row>
    <row r="144" ht="15.75" customHeight="1">
      <c r="A144" s="7" t="s">
        <v>1235</v>
      </c>
      <c r="B144" s="7" t="s">
        <v>1236</v>
      </c>
      <c r="C144" s="7" t="s">
        <v>1237</v>
      </c>
      <c r="D144" s="7" t="s">
        <v>1238</v>
      </c>
      <c r="E144" s="7" t="s">
        <v>199</v>
      </c>
      <c r="F144" s="7" t="s">
        <v>1239</v>
      </c>
      <c r="G144" s="7" t="s">
        <v>119</v>
      </c>
      <c r="H144" s="7" t="s">
        <v>1240</v>
      </c>
      <c r="I144" s="7" t="s">
        <v>125</v>
      </c>
      <c r="J144" s="7" t="s">
        <v>454</v>
      </c>
      <c r="K144" s="10" t="s">
        <v>87</v>
      </c>
      <c r="L144" s="7"/>
      <c r="M144" s="10" t="s">
        <v>1241</v>
      </c>
    </row>
    <row r="145" ht="15.75" customHeight="1">
      <c r="A145" s="8" t="s">
        <v>1242</v>
      </c>
      <c r="B145" s="8" t="s">
        <v>1236</v>
      </c>
      <c r="C145" s="8" t="s">
        <v>1237</v>
      </c>
      <c r="D145" s="8" t="s">
        <v>1243</v>
      </c>
      <c r="E145" s="8" t="s">
        <v>199</v>
      </c>
      <c r="F145" s="8" t="s">
        <v>1244</v>
      </c>
      <c r="G145" s="8" t="s">
        <v>119</v>
      </c>
      <c r="H145" s="8" t="s">
        <v>1245</v>
      </c>
      <c r="I145" s="8" t="s">
        <v>71</v>
      </c>
      <c r="J145" s="8" t="s">
        <v>454</v>
      </c>
      <c r="K145" s="11" t="s">
        <v>87</v>
      </c>
      <c r="L145" s="8"/>
      <c r="M145" s="8"/>
    </row>
    <row r="146" ht="15.75" customHeight="1">
      <c r="A146" s="7" t="s">
        <v>1246</v>
      </c>
      <c r="B146" s="7" t="s">
        <v>1236</v>
      </c>
      <c r="C146" s="7" t="s">
        <v>1237</v>
      </c>
      <c r="D146" s="7" t="s">
        <v>1247</v>
      </c>
      <c r="E146" s="7" t="s">
        <v>199</v>
      </c>
      <c r="F146" s="7" t="s">
        <v>1248</v>
      </c>
      <c r="G146" s="7" t="s">
        <v>119</v>
      </c>
      <c r="H146" s="7" t="s">
        <v>1249</v>
      </c>
      <c r="I146" s="7" t="s">
        <v>125</v>
      </c>
      <c r="J146" s="7" t="s">
        <v>454</v>
      </c>
      <c r="K146" s="10" t="s">
        <v>87</v>
      </c>
      <c r="L146" s="7"/>
      <c r="M146" s="7"/>
    </row>
    <row r="147" ht="15.75" customHeight="1">
      <c r="A147" s="23" t="s">
        <v>1250</v>
      </c>
      <c r="B147" s="23" t="s">
        <v>1236</v>
      </c>
      <c r="C147" s="23" t="s">
        <v>1237</v>
      </c>
      <c r="D147" s="23" t="s">
        <v>1251</v>
      </c>
      <c r="E147" s="23" t="s">
        <v>1252</v>
      </c>
      <c r="F147" s="23" t="s">
        <v>1253</v>
      </c>
      <c r="G147" s="23" t="s">
        <v>119</v>
      </c>
      <c r="H147" s="23" t="s">
        <v>1254</v>
      </c>
      <c r="I147" s="23" t="s">
        <v>125</v>
      </c>
      <c r="J147" s="23" t="s">
        <v>73</v>
      </c>
      <c r="K147" s="24" t="s">
        <v>957</v>
      </c>
      <c r="L147" s="23"/>
      <c r="M147" s="24" t="s">
        <v>1255</v>
      </c>
      <c r="N147" s="25"/>
      <c r="O147" s="25"/>
      <c r="P147" s="25"/>
      <c r="Q147" s="25"/>
      <c r="R147" s="25"/>
      <c r="S147" s="25"/>
      <c r="T147" s="25"/>
      <c r="U147" s="25"/>
      <c r="V147" s="25"/>
      <c r="W147" s="25"/>
      <c r="X147" s="25"/>
      <c r="Y147" s="25"/>
      <c r="Z147" s="25"/>
    </row>
    <row r="148" ht="15.75" customHeight="1">
      <c r="A148" s="23" t="s">
        <v>1256</v>
      </c>
      <c r="B148" s="23" t="s">
        <v>1236</v>
      </c>
      <c r="C148" s="23" t="s">
        <v>1237</v>
      </c>
      <c r="D148" s="23" t="s">
        <v>1257</v>
      </c>
      <c r="E148" s="23" t="s">
        <v>1258</v>
      </c>
      <c r="F148" s="23" t="s">
        <v>1259</v>
      </c>
      <c r="G148" s="23" t="s">
        <v>119</v>
      </c>
      <c r="H148" s="23" t="s">
        <v>1260</v>
      </c>
      <c r="I148" s="23" t="s">
        <v>125</v>
      </c>
      <c r="J148" s="23" t="s">
        <v>73</v>
      </c>
      <c r="K148" s="24" t="s">
        <v>957</v>
      </c>
      <c r="L148" s="23"/>
      <c r="M148" s="24" t="s">
        <v>1261</v>
      </c>
      <c r="N148" s="25"/>
      <c r="O148" s="25"/>
      <c r="P148" s="25"/>
      <c r="Q148" s="25"/>
      <c r="R148" s="25"/>
      <c r="S148" s="25"/>
      <c r="T148" s="25"/>
      <c r="U148" s="25"/>
      <c r="V148" s="25"/>
      <c r="W148" s="25"/>
      <c r="X148" s="25"/>
      <c r="Y148" s="25"/>
      <c r="Z148" s="25"/>
    </row>
    <row r="149" ht="15.75" customHeight="1">
      <c r="A149" s="8" t="s">
        <v>1262</v>
      </c>
      <c r="B149" s="8" t="s">
        <v>1236</v>
      </c>
      <c r="C149" s="8" t="s">
        <v>1237</v>
      </c>
      <c r="D149" s="8" t="s">
        <v>1263</v>
      </c>
      <c r="E149" s="8" t="s">
        <v>1264</v>
      </c>
      <c r="F149" s="8" t="s">
        <v>1265</v>
      </c>
      <c r="G149" s="8" t="s">
        <v>119</v>
      </c>
      <c r="H149" s="8" t="s">
        <v>1266</v>
      </c>
      <c r="I149" s="8" t="s">
        <v>71</v>
      </c>
      <c r="J149" s="8" t="s">
        <v>454</v>
      </c>
      <c r="K149" s="11" t="s">
        <v>87</v>
      </c>
      <c r="L149" s="8"/>
      <c r="M149" s="8"/>
    </row>
    <row r="150" ht="15.75" customHeight="1">
      <c r="A150" s="7" t="s">
        <v>1267</v>
      </c>
      <c r="B150" s="7" t="s">
        <v>1236</v>
      </c>
      <c r="C150" s="7" t="s">
        <v>1237</v>
      </c>
      <c r="D150" s="7" t="s">
        <v>1268</v>
      </c>
      <c r="E150" s="7" t="s">
        <v>199</v>
      </c>
      <c r="F150" s="7" t="s">
        <v>1269</v>
      </c>
      <c r="G150" s="7" t="s">
        <v>119</v>
      </c>
      <c r="H150" s="7" t="s">
        <v>1270</v>
      </c>
      <c r="I150" s="7" t="s">
        <v>125</v>
      </c>
      <c r="J150" s="7" t="s">
        <v>454</v>
      </c>
      <c r="K150" s="10" t="s">
        <v>87</v>
      </c>
      <c r="L150" s="7"/>
      <c r="M150" s="7"/>
    </row>
    <row r="151" ht="15.75" customHeight="1">
      <c r="A151" s="8" t="s">
        <v>1271</v>
      </c>
      <c r="B151" s="8" t="s">
        <v>1236</v>
      </c>
      <c r="C151" s="8" t="s">
        <v>1237</v>
      </c>
      <c r="D151" s="8" t="s">
        <v>1272</v>
      </c>
      <c r="E151" s="8" t="s">
        <v>1273</v>
      </c>
      <c r="F151" s="8" t="s">
        <v>1274</v>
      </c>
      <c r="G151" s="8" t="s">
        <v>119</v>
      </c>
      <c r="H151" s="8" t="s">
        <v>1275</v>
      </c>
      <c r="I151" s="8" t="s">
        <v>71</v>
      </c>
      <c r="J151" s="8" t="s">
        <v>454</v>
      </c>
      <c r="K151" s="11" t="s">
        <v>87</v>
      </c>
      <c r="L151" s="8"/>
      <c r="M151" s="8"/>
    </row>
    <row r="152" ht="15.75" customHeight="1">
      <c r="A152" s="7" t="s">
        <v>1276</v>
      </c>
      <c r="B152" s="7" t="s">
        <v>1236</v>
      </c>
      <c r="C152" s="7" t="s">
        <v>1237</v>
      </c>
      <c r="D152" s="7" t="s">
        <v>1277</v>
      </c>
      <c r="E152" s="7" t="s">
        <v>1278</v>
      </c>
      <c r="F152" s="7" t="s">
        <v>1279</v>
      </c>
      <c r="G152" s="7" t="s">
        <v>119</v>
      </c>
      <c r="H152" s="7" t="s">
        <v>1280</v>
      </c>
      <c r="I152" s="7" t="s">
        <v>344</v>
      </c>
      <c r="J152" s="7" t="s">
        <v>454</v>
      </c>
      <c r="K152" s="10" t="s">
        <v>87</v>
      </c>
      <c r="L152" s="7"/>
      <c r="M152" s="10" t="s">
        <v>1281</v>
      </c>
    </row>
    <row r="153" ht="15.75" customHeight="1">
      <c r="A153" s="8" t="s">
        <v>1282</v>
      </c>
      <c r="B153" s="8" t="s">
        <v>1236</v>
      </c>
      <c r="C153" s="8" t="s">
        <v>1237</v>
      </c>
      <c r="D153" s="8" t="s">
        <v>1283</v>
      </c>
      <c r="E153" s="8" t="s">
        <v>1284</v>
      </c>
      <c r="F153" s="8" t="s">
        <v>1285</v>
      </c>
      <c r="G153" s="8" t="s">
        <v>119</v>
      </c>
      <c r="H153" s="8" t="s">
        <v>1286</v>
      </c>
      <c r="I153" s="8" t="s">
        <v>125</v>
      </c>
      <c r="J153" s="8" t="s">
        <v>454</v>
      </c>
      <c r="K153" s="11" t="s">
        <v>87</v>
      </c>
      <c r="L153" s="8"/>
      <c r="M153" s="10" t="s">
        <v>1281</v>
      </c>
    </row>
    <row r="154" ht="15.75" customHeight="1">
      <c r="A154" s="7" t="s">
        <v>1287</v>
      </c>
      <c r="B154" s="7" t="s">
        <v>1236</v>
      </c>
      <c r="C154" s="7" t="s">
        <v>1237</v>
      </c>
      <c r="D154" s="7" t="s">
        <v>1288</v>
      </c>
      <c r="E154" s="7" t="s">
        <v>1289</v>
      </c>
      <c r="F154" s="7" t="s">
        <v>1285</v>
      </c>
      <c r="G154" s="7" t="s">
        <v>1290</v>
      </c>
      <c r="H154" s="7" t="s">
        <v>1291</v>
      </c>
      <c r="I154" s="7" t="s">
        <v>125</v>
      </c>
      <c r="J154" s="7" t="s">
        <v>454</v>
      </c>
      <c r="K154" s="10" t="s">
        <v>87</v>
      </c>
      <c r="L154" s="7"/>
      <c r="M154" s="7"/>
    </row>
    <row r="155" ht="15.75" customHeight="1">
      <c r="A155" s="23" t="s">
        <v>1292</v>
      </c>
      <c r="B155" s="23" t="s">
        <v>1236</v>
      </c>
      <c r="C155" s="23" t="s">
        <v>1237</v>
      </c>
      <c r="D155" s="23" t="s">
        <v>1293</v>
      </c>
      <c r="E155" s="23" t="s">
        <v>199</v>
      </c>
      <c r="F155" s="23" t="s">
        <v>1294</v>
      </c>
      <c r="G155" s="23" t="s">
        <v>119</v>
      </c>
      <c r="H155" s="23" t="s">
        <v>1295</v>
      </c>
      <c r="I155" s="23" t="s">
        <v>71</v>
      </c>
      <c r="J155" s="23" t="s">
        <v>454</v>
      </c>
      <c r="K155" s="24" t="s">
        <v>957</v>
      </c>
      <c r="L155" s="23"/>
      <c r="M155" s="24" t="s">
        <v>1296</v>
      </c>
      <c r="N155" s="25"/>
      <c r="O155" s="25"/>
      <c r="P155" s="25"/>
      <c r="Q155" s="25"/>
      <c r="R155" s="25"/>
      <c r="S155" s="25"/>
      <c r="T155" s="25"/>
      <c r="U155" s="25"/>
      <c r="V155" s="25"/>
      <c r="W155" s="25"/>
      <c r="X155" s="25"/>
      <c r="Y155" s="25"/>
      <c r="Z155" s="25"/>
    </row>
    <row r="156" ht="15.75" customHeight="1">
      <c r="A156" s="7" t="s">
        <v>1297</v>
      </c>
      <c r="B156" s="7" t="s">
        <v>1236</v>
      </c>
      <c r="C156" s="7" t="s">
        <v>1237</v>
      </c>
      <c r="D156" s="7" t="s">
        <v>1298</v>
      </c>
      <c r="E156" s="7" t="s">
        <v>199</v>
      </c>
      <c r="F156" s="7" t="s">
        <v>1299</v>
      </c>
      <c r="G156" s="7" t="s">
        <v>119</v>
      </c>
      <c r="H156" s="7" t="s">
        <v>1300</v>
      </c>
      <c r="I156" s="7" t="s">
        <v>71</v>
      </c>
      <c r="J156" s="7" t="s">
        <v>454</v>
      </c>
      <c r="K156" s="10" t="s">
        <v>87</v>
      </c>
      <c r="L156" s="7"/>
      <c r="M156" s="7"/>
    </row>
    <row r="157" ht="15.75" customHeight="1">
      <c r="A157" s="8" t="s">
        <v>1301</v>
      </c>
      <c r="B157" s="8" t="s">
        <v>1236</v>
      </c>
      <c r="C157" s="8" t="s">
        <v>1237</v>
      </c>
      <c r="D157" s="8" t="s">
        <v>1302</v>
      </c>
      <c r="E157" s="8" t="s">
        <v>199</v>
      </c>
      <c r="F157" s="8" t="s">
        <v>1303</v>
      </c>
      <c r="G157" s="8" t="s">
        <v>119</v>
      </c>
      <c r="H157" s="8" t="s">
        <v>1304</v>
      </c>
      <c r="I157" s="8" t="s">
        <v>71</v>
      </c>
      <c r="J157" s="8" t="s">
        <v>454</v>
      </c>
      <c r="K157" s="11" t="s">
        <v>87</v>
      </c>
      <c r="L157" s="8"/>
      <c r="M157" s="8"/>
    </row>
    <row r="158" ht="15.75" customHeight="1">
      <c r="A158" s="23" t="s">
        <v>1305</v>
      </c>
      <c r="B158" s="23" t="s">
        <v>1236</v>
      </c>
      <c r="C158" s="23" t="s">
        <v>1237</v>
      </c>
      <c r="D158" s="23" t="s">
        <v>1306</v>
      </c>
      <c r="E158" s="23" t="s">
        <v>1307</v>
      </c>
      <c r="F158" s="23" t="s">
        <v>1308</v>
      </c>
      <c r="G158" s="23" t="s">
        <v>1309</v>
      </c>
      <c r="H158" s="23" t="s">
        <v>1310</v>
      </c>
      <c r="I158" s="23" t="s">
        <v>125</v>
      </c>
      <c r="J158" s="23" t="s">
        <v>454</v>
      </c>
      <c r="K158" s="24" t="s">
        <v>957</v>
      </c>
      <c r="L158" s="23"/>
      <c r="M158" s="24" t="s">
        <v>1311</v>
      </c>
      <c r="N158" s="25"/>
      <c r="O158" s="25"/>
      <c r="P158" s="25"/>
      <c r="Q158" s="25"/>
      <c r="R158" s="25"/>
      <c r="S158" s="25"/>
      <c r="T158" s="25"/>
      <c r="U158" s="25"/>
      <c r="V158" s="25"/>
      <c r="W158" s="25"/>
      <c r="X158" s="25"/>
      <c r="Y158" s="25"/>
      <c r="Z158" s="25"/>
    </row>
    <row r="159" ht="15.75" customHeight="1">
      <c r="A159" s="8" t="s">
        <v>1312</v>
      </c>
      <c r="B159" s="8" t="s">
        <v>1236</v>
      </c>
      <c r="C159" s="8" t="s">
        <v>1237</v>
      </c>
      <c r="D159" s="8" t="s">
        <v>1313</v>
      </c>
      <c r="E159" s="8" t="s">
        <v>1314</v>
      </c>
      <c r="F159" s="8" t="s">
        <v>1315</v>
      </c>
      <c r="G159" s="8" t="s">
        <v>119</v>
      </c>
      <c r="H159" s="8" t="s">
        <v>1316</v>
      </c>
      <c r="I159" s="8" t="s">
        <v>71</v>
      </c>
      <c r="J159" s="8" t="s">
        <v>454</v>
      </c>
      <c r="K159" s="11" t="s">
        <v>87</v>
      </c>
      <c r="L159" s="8"/>
      <c r="M159" s="24" t="s">
        <v>1317</v>
      </c>
    </row>
    <row r="160" ht="15.75" customHeight="1">
      <c r="A160" s="7" t="s">
        <v>1318</v>
      </c>
      <c r="B160" s="7" t="s">
        <v>1236</v>
      </c>
      <c r="C160" s="7" t="s">
        <v>1237</v>
      </c>
      <c r="D160" s="7" t="s">
        <v>1319</v>
      </c>
      <c r="E160" s="7" t="s">
        <v>199</v>
      </c>
      <c r="F160" s="7" t="s">
        <v>1320</v>
      </c>
      <c r="G160" s="7" t="s">
        <v>119</v>
      </c>
      <c r="H160" s="7" t="s">
        <v>1321</v>
      </c>
      <c r="I160" s="7" t="s">
        <v>125</v>
      </c>
      <c r="J160" s="7" t="s">
        <v>73</v>
      </c>
      <c r="K160" s="10" t="s">
        <v>87</v>
      </c>
      <c r="L160" s="7"/>
      <c r="M160" s="7"/>
    </row>
    <row r="161" ht="15.75" customHeight="1">
      <c r="A161" s="8" t="s">
        <v>1322</v>
      </c>
      <c r="B161" s="8" t="s">
        <v>1236</v>
      </c>
      <c r="C161" s="8" t="s">
        <v>1237</v>
      </c>
      <c r="D161" s="8" t="s">
        <v>1323</v>
      </c>
      <c r="E161" s="8" t="s">
        <v>1324</v>
      </c>
      <c r="F161" s="8" t="s">
        <v>1325</v>
      </c>
      <c r="G161" s="8" t="s">
        <v>119</v>
      </c>
      <c r="H161" s="8" t="s">
        <v>1326</v>
      </c>
      <c r="I161" s="8" t="s">
        <v>125</v>
      </c>
      <c r="J161" s="8" t="s">
        <v>73</v>
      </c>
      <c r="K161" s="11" t="s">
        <v>87</v>
      </c>
      <c r="L161" s="8"/>
      <c r="M161" s="11" t="s">
        <v>1327</v>
      </c>
    </row>
    <row r="162" ht="15.75" customHeight="1">
      <c r="A162" s="7" t="s">
        <v>1328</v>
      </c>
      <c r="B162" s="7" t="s">
        <v>1236</v>
      </c>
      <c r="C162" s="7" t="s">
        <v>1237</v>
      </c>
      <c r="D162" s="7" t="s">
        <v>1329</v>
      </c>
      <c r="E162" s="7" t="s">
        <v>1330</v>
      </c>
      <c r="F162" s="7" t="s">
        <v>603</v>
      </c>
      <c r="G162" s="7" t="s">
        <v>119</v>
      </c>
      <c r="H162" s="7" t="s">
        <v>1331</v>
      </c>
      <c r="I162" s="7" t="s">
        <v>71</v>
      </c>
      <c r="J162" s="7" t="s">
        <v>73</v>
      </c>
      <c r="K162" s="10" t="s">
        <v>189</v>
      </c>
      <c r="L162" s="7"/>
      <c r="M162" s="7"/>
    </row>
    <row r="163" ht="15.75" customHeight="1">
      <c r="A163" s="8" t="s">
        <v>1332</v>
      </c>
      <c r="B163" s="8" t="s">
        <v>1333</v>
      </c>
      <c r="C163" s="8" t="s">
        <v>1334</v>
      </c>
      <c r="D163" s="8" t="s">
        <v>1335</v>
      </c>
      <c r="E163" s="8" t="s">
        <v>1336</v>
      </c>
      <c r="F163" s="8" t="s">
        <v>1337</v>
      </c>
      <c r="G163" s="8" t="s">
        <v>119</v>
      </c>
      <c r="H163" s="8" t="s">
        <v>1338</v>
      </c>
      <c r="I163" s="8" t="s">
        <v>71</v>
      </c>
      <c r="J163" s="8" t="s">
        <v>73</v>
      </c>
      <c r="K163" s="11" t="s">
        <v>87</v>
      </c>
      <c r="L163" s="8"/>
      <c r="M163" s="8"/>
    </row>
    <row r="164" ht="15.75" customHeight="1">
      <c r="A164" s="7" t="s">
        <v>1339</v>
      </c>
      <c r="B164" s="7" t="s">
        <v>1333</v>
      </c>
      <c r="C164" s="7" t="s">
        <v>1334</v>
      </c>
      <c r="D164" s="7" t="s">
        <v>1340</v>
      </c>
      <c r="E164" s="7" t="s">
        <v>980</v>
      </c>
      <c r="F164" s="7" t="s">
        <v>1341</v>
      </c>
      <c r="G164" s="7" t="s">
        <v>119</v>
      </c>
      <c r="H164" s="7" t="s">
        <v>982</v>
      </c>
      <c r="I164" s="7" t="s">
        <v>71</v>
      </c>
      <c r="J164" s="7" t="s">
        <v>73</v>
      </c>
      <c r="K164" s="10" t="s">
        <v>87</v>
      </c>
      <c r="L164" s="7"/>
      <c r="M164" s="7"/>
    </row>
    <row r="165" ht="15.75" customHeight="1">
      <c r="A165" s="8" t="s">
        <v>1342</v>
      </c>
      <c r="B165" s="8" t="s">
        <v>1333</v>
      </c>
      <c r="C165" s="8" t="s">
        <v>1334</v>
      </c>
      <c r="D165" s="8" t="s">
        <v>1343</v>
      </c>
      <c r="E165" s="8" t="s">
        <v>1344</v>
      </c>
      <c r="F165" s="8" t="s">
        <v>1345</v>
      </c>
      <c r="G165" s="8" t="s">
        <v>119</v>
      </c>
      <c r="H165" s="8" t="s">
        <v>1346</v>
      </c>
      <c r="I165" s="8" t="s">
        <v>125</v>
      </c>
      <c r="J165" s="8" t="s">
        <v>73</v>
      </c>
      <c r="K165" s="11" t="s">
        <v>87</v>
      </c>
      <c r="L165" s="8"/>
      <c r="M165" s="8"/>
    </row>
    <row r="166" ht="15.75" customHeight="1">
      <c r="A166" s="7" t="s">
        <v>1347</v>
      </c>
      <c r="B166" s="7" t="s">
        <v>1333</v>
      </c>
      <c r="C166" s="7" t="s">
        <v>1334</v>
      </c>
      <c r="D166" s="7" t="s">
        <v>1348</v>
      </c>
      <c r="E166" s="7" t="s">
        <v>1344</v>
      </c>
      <c r="F166" s="7" t="s">
        <v>1349</v>
      </c>
      <c r="G166" s="7" t="s">
        <v>119</v>
      </c>
      <c r="H166" s="7" t="s">
        <v>865</v>
      </c>
      <c r="I166" s="7" t="s">
        <v>125</v>
      </c>
      <c r="J166" s="7" t="s">
        <v>73</v>
      </c>
      <c r="K166" s="10" t="s">
        <v>87</v>
      </c>
      <c r="L166" s="7"/>
      <c r="M166" s="7"/>
    </row>
    <row r="167" ht="15.75" customHeight="1">
      <c r="A167" s="8" t="s">
        <v>1350</v>
      </c>
      <c r="B167" s="8" t="s">
        <v>1333</v>
      </c>
      <c r="C167" s="8" t="s">
        <v>1334</v>
      </c>
      <c r="D167" s="8" t="s">
        <v>1351</v>
      </c>
      <c r="E167" s="8" t="s">
        <v>1352</v>
      </c>
      <c r="F167" s="8" t="s">
        <v>1353</v>
      </c>
      <c r="G167" s="8" t="s">
        <v>119</v>
      </c>
      <c r="H167" s="8" t="s">
        <v>1354</v>
      </c>
      <c r="I167" s="8" t="s">
        <v>71</v>
      </c>
      <c r="J167" s="8" t="s">
        <v>73</v>
      </c>
      <c r="K167" s="11" t="s">
        <v>87</v>
      </c>
      <c r="L167" s="8"/>
      <c r="M167" s="8"/>
    </row>
    <row r="168" ht="15.75" customHeight="1">
      <c r="A168" s="7" t="s">
        <v>1355</v>
      </c>
      <c r="B168" s="7" t="s">
        <v>1333</v>
      </c>
      <c r="C168" s="7" t="s">
        <v>1334</v>
      </c>
      <c r="D168" s="7" t="s">
        <v>1356</v>
      </c>
      <c r="E168" s="7" t="s">
        <v>1352</v>
      </c>
      <c r="F168" s="7" t="s">
        <v>1357</v>
      </c>
      <c r="G168" s="7" t="s">
        <v>119</v>
      </c>
      <c r="H168" s="7" t="s">
        <v>1358</v>
      </c>
      <c r="I168" s="7" t="s">
        <v>71</v>
      </c>
      <c r="J168" s="29" t="s">
        <v>73</v>
      </c>
      <c r="K168" s="31" t="s">
        <v>87</v>
      </c>
      <c r="L168" s="7"/>
      <c r="M168" s="7"/>
    </row>
    <row r="169" ht="15.75" customHeight="1">
      <c r="A169" s="8" t="s">
        <v>1359</v>
      </c>
      <c r="B169" s="8" t="s">
        <v>1333</v>
      </c>
      <c r="C169" s="8" t="s">
        <v>1334</v>
      </c>
      <c r="D169" s="8" t="s">
        <v>1360</v>
      </c>
      <c r="E169" s="8" t="s">
        <v>1344</v>
      </c>
      <c r="F169" s="8" t="s">
        <v>1361</v>
      </c>
      <c r="G169" s="8" t="s">
        <v>119</v>
      </c>
      <c r="H169" s="8" t="s">
        <v>1362</v>
      </c>
      <c r="I169" s="8" t="s">
        <v>125</v>
      </c>
      <c r="J169" s="8" t="s">
        <v>73</v>
      </c>
      <c r="K169" s="11" t="s">
        <v>87</v>
      </c>
      <c r="L169" s="8"/>
      <c r="M169" s="8"/>
    </row>
    <row r="170" ht="15.75" customHeight="1">
      <c r="A170" s="7" t="s">
        <v>1363</v>
      </c>
      <c r="B170" s="7" t="s">
        <v>1333</v>
      </c>
      <c r="C170" s="7" t="s">
        <v>1334</v>
      </c>
      <c r="D170" s="7" t="s">
        <v>1364</v>
      </c>
      <c r="E170" s="7" t="s">
        <v>1365</v>
      </c>
      <c r="F170" s="7" t="s">
        <v>1366</v>
      </c>
      <c r="G170" s="7" t="s">
        <v>119</v>
      </c>
      <c r="H170" s="7" t="s">
        <v>865</v>
      </c>
      <c r="I170" s="7" t="s">
        <v>165</v>
      </c>
      <c r="J170" s="7" t="s">
        <v>73</v>
      </c>
      <c r="K170" s="10" t="s">
        <v>87</v>
      </c>
      <c r="L170" s="7"/>
      <c r="M170" s="7"/>
    </row>
    <row r="171" ht="15.75" customHeight="1">
      <c r="A171" s="23" t="s">
        <v>1367</v>
      </c>
      <c r="B171" s="23" t="s">
        <v>1333</v>
      </c>
      <c r="C171" s="23" t="s">
        <v>1334</v>
      </c>
      <c r="D171" s="23" t="s">
        <v>1368</v>
      </c>
      <c r="E171" s="23" t="s">
        <v>307</v>
      </c>
      <c r="F171" s="23" t="s">
        <v>1369</v>
      </c>
      <c r="G171" s="23" t="s">
        <v>119</v>
      </c>
      <c r="H171" s="23" t="s">
        <v>901</v>
      </c>
      <c r="I171" s="23" t="s">
        <v>125</v>
      </c>
      <c r="J171" s="23" t="s">
        <v>73</v>
      </c>
      <c r="K171" s="24" t="s">
        <v>957</v>
      </c>
      <c r="L171" s="23"/>
      <c r="M171" s="24" t="s">
        <v>1370</v>
      </c>
      <c r="N171" s="25"/>
      <c r="O171" s="25"/>
      <c r="P171" s="25"/>
      <c r="Q171" s="25"/>
      <c r="R171" s="25"/>
      <c r="S171" s="25"/>
      <c r="T171" s="25"/>
      <c r="U171" s="25"/>
      <c r="V171" s="25"/>
      <c r="W171" s="25"/>
      <c r="X171" s="25"/>
      <c r="Y171" s="25"/>
      <c r="Z171" s="25"/>
    </row>
    <row r="172" ht="15.75" customHeight="1">
      <c r="A172" s="7" t="s">
        <v>1371</v>
      </c>
      <c r="B172" s="7" t="s">
        <v>1333</v>
      </c>
      <c r="C172" s="7" t="s">
        <v>1334</v>
      </c>
      <c r="D172" s="7" t="s">
        <v>1372</v>
      </c>
      <c r="E172" s="7" t="s">
        <v>199</v>
      </c>
      <c r="F172" s="7" t="s">
        <v>1373</v>
      </c>
      <c r="G172" s="7" t="s">
        <v>119</v>
      </c>
      <c r="H172" s="7" t="s">
        <v>1374</v>
      </c>
      <c r="I172" s="7" t="s">
        <v>71</v>
      </c>
      <c r="J172" s="7" t="s">
        <v>73</v>
      </c>
      <c r="K172" s="10" t="s">
        <v>87</v>
      </c>
      <c r="L172" s="7"/>
      <c r="M172" s="7"/>
    </row>
    <row r="173" ht="15.75" customHeight="1">
      <c r="A173" s="23" t="s">
        <v>1375</v>
      </c>
      <c r="B173" s="23" t="s">
        <v>1333</v>
      </c>
      <c r="C173" s="23" t="s">
        <v>1334</v>
      </c>
      <c r="D173" s="23" t="s">
        <v>1376</v>
      </c>
      <c r="E173" s="23" t="s">
        <v>1377</v>
      </c>
      <c r="F173" s="23" t="s">
        <v>603</v>
      </c>
      <c r="G173" s="23" t="s">
        <v>119</v>
      </c>
      <c r="H173" s="23" t="s">
        <v>1378</v>
      </c>
      <c r="I173" s="23" t="s">
        <v>71</v>
      </c>
      <c r="J173" s="23" t="s">
        <v>73</v>
      </c>
      <c r="K173" s="24" t="s">
        <v>957</v>
      </c>
      <c r="L173" s="23"/>
      <c r="M173" s="24" t="s">
        <v>1379</v>
      </c>
      <c r="N173" s="25"/>
      <c r="O173" s="25"/>
      <c r="P173" s="25"/>
      <c r="Q173" s="25"/>
      <c r="R173" s="25"/>
      <c r="S173" s="25"/>
      <c r="T173" s="25"/>
      <c r="U173" s="25"/>
      <c r="V173" s="25"/>
      <c r="W173" s="25"/>
      <c r="X173" s="25"/>
      <c r="Y173" s="25"/>
      <c r="Z173" s="25"/>
    </row>
    <row r="174" ht="15.75" customHeight="1">
      <c r="A174" s="7" t="s">
        <v>1380</v>
      </c>
      <c r="B174" s="7" t="s">
        <v>1381</v>
      </c>
      <c r="C174" s="7" t="s">
        <v>1382</v>
      </c>
      <c r="D174" s="7" t="s">
        <v>1383</v>
      </c>
      <c r="E174" s="7" t="s">
        <v>1384</v>
      </c>
      <c r="F174" s="7" t="s">
        <v>1385</v>
      </c>
      <c r="G174" s="7" t="s">
        <v>119</v>
      </c>
      <c r="H174" s="7" t="s">
        <v>1386</v>
      </c>
      <c r="I174" s="7" t="s">
        <v>71</v>
      </c>
      <c r="J174" s="7" t="s">
        <v>73</v>
      </c>
      <c r="K174" s="10" t="s">
        <v>87</v>
      </c>
      <c r="L174" s="7"/>
      <c r="M174" s="7"/>
    </row>
    <row r="175" ht="15.75" customHeight="1">
      <c r="A175" s="8" t="s">
        <v>1387</v>
      </c>
      <c r="B175" s="8" t="s">
        <v>1381</v>
      </c>
      <c r="C175" s="8" t="s">
        <v>1382</v>
      </c>
      <c r="D175" s="8" t="s">
        <v>1388</v>
      </c>
      <c r="E175" s="8" t="s">
        <v>1389</v>
      </c>
      <c r="F175" s="8" t="s">
        <v>603</v>
      </c>
      <c r="G175" s="8" t="s">
        <v>119</v>
      </c>
      <c r="H175" s="8" t="s">
        <v>1390</v>
      </c>
      <c r="I175" s="8" t="s">
        <v>71</v>
      </c>
      <c r="J175" s="8" t="s">
        <v>73</v>
      </c>
      <c r="K175" s="11" t="s">
        <v>957</v>
      </c>
      <c r="L175" s="8"/>
      <c r="M175" s="11" t="s">
        <v>1391</v>
      </c>
    </row>
    <row r="176" ht="15.75" customHeight="1">
      <c r="A176" s="7" t="s">
        <v>1392</v>
      </c>
      <c r="B176" s="7" t="s">
        <v>1393</v>
      </c>
      <c r="C176" s="7" t="s">
        <v>80</v>
      </c>
      <c r="D176" s="7" t="s">
        <v>1394</v>
      </c>
      <c r="E176" s="7" t="s">
        <v>980</v>
      </c>
      <c r="F176" s="7" t="s">
        <v>1395</v>
      </c>
      <c r="G176" s="7" t="s">
        <v>119</v>
      </c>
      <c r="H176" s="7" t="s">
        <v>1396</v>
      </c>
      <c r="I176" s="7" t="s">
        <v>71</v>
      </c>
      <c r="J176" s="7" t="s">
        <v>73</v>
      </c>
      <c r="K176" s="10" t="s">
        <v>87</v>
      </c>
      <c r="L176" s="7"/>
      <c r="M176" s="7"/>
    </row>
    <row r="177" ht="15.75" customHeight="1">
      <c r="A177" s="8" t="s">
        <v>1397</v>
      </c>
      <c r="B177" s="8" t="s">
        <v>1393</v>
      </c>
      <c r="C177" s="8" t="s">
        <v>80</v>
      </c>
      <c r="D177" s="8" t="s">
        <v>1398</v>
      </c>
      <c r="E177" s="8" t="s">
        <v>1399</v>
      </c>
      <c r="F177" s="8" t="s">
        <v>1400</v>
      </c>
      <c r="G177" s="8" t="s">
        <v>119</v>
      </c>
      <c r="H177" s="8" t="s">
        <v>1401</v>
      </c>
      <c r="I177" s="8" t="s">
        <v>71</v>
      </c>
      <c r="J177" s="8" t="s">
        <v>73</v>
      </c>
      <c r="K177" s="11" t="s">
        <v>87</v>
      </c>
      <c r="L177" s="8"/>
      <c r="M177" s="8"/>
    </row>
    <row r="178" ht="15.75" customHeight="1">
      <c r="A178" s="8" t="s">
        <v>1402</v>
      </c>
      <c r="B178" s="8" t="s">
        <v>1393</v>
      </c>
      <c r="C178" s="8" t="s">
        <v>80</v>
      </c>
      <c r="D178" s="8" t="s">
        <v>1403</v>
      </c>
      <c r="E178" s="8" t="s">
        <v>1404</v>
      </c>
      <c r="F178" s="8" t="s">
        <v>1400</v>
      </c>
      <c r="G178" s="8" t="s">
        <v>119</v>
      </c>
      <c r="H178" s="8" t="s">
        <v>1405</v>
      </c>
      <c r="I178" s="8" t="s">
        <v>71</v>
      </c>
      <c r="J178" s="8" t="s">
        <v>73</v>
      </c>
      <c r="K178" s="11" t="s">
        <v>87</v>
      </c>
      <c r="L178" s="8"/>
      <c r="M178" s="8"/>
    </row>
    <row r="179" ht="15.75" customHeight="1">
      <c r="A179" s="29" t="s">
        <v>1406</v>
      </c>
      <c r="B179" s="29" t="s">
        <v>1393</v>
      </c>
      <c r="C179" s="29" t="s">
        <v>80</v>
      </c>
      <c r="D179" s="29" t="s">
        <v>1407</v>
      </c>
      <c r="E179" s="29" t="s">
        <v>1408</v>
      </c>
      <c r="F179" s="29" t="s">
        <v>1400</v>
      </c>
      <c r="G179" s="29" t="s">
        <v>119</v>
      </c>
      <c r="H179" s="29" t="s">
        <v>1409</v>
      </c>
      <c r="I179" s="29" t="s">
        <v>71</v>
      </c>
      <c r="J179" s="29" t="s">
        <v>73</v>
      </c>
      <c r="K179" s="31" t="s">
        <v>168</v>
      </c>
      <c r="L179" s="29"/>
      <c r="M179" s="29"/>
      <c r="N179" s="30"/>
      <c r="O179" s="30"/>
      <c r="P179" s="30"/>
      <c r="Q179" s="30"/>
      <c r="R179" s="30"/>
      <c r="S179" s="30"/>
      <c r="T179" s="30"/>
      <c r="U179" s="30"/>
      <c r="V179" s="30"/>
      <c r="W179" s="30"/>
      <c r="X179" s="30"/>
      <c r="Y179" s="30"/>
      <c r="Z179" s="30"/>
    </row>
    <row r="180" ht="15.75" customHeight="1">
      <c r="A180" s="7" t="s">
        <v>1410</v>
      </c>
      <c r="B180" s="7" t="s">
        <v>1411</v>
      </c>
      <c r="C180" s="7" t="s">
        <v>1412</v>
      </c>
      <c r="D180" s="7" t="s">
        <v>1413</v>
      </c>
      <c r="E180" s="7" t="s">
        <v>1336</v>
      </c>
      <c r="F180" s="7" t="s">
        <v>1414</v>
      </c>
      <c r="G180" s="7" t="s">
        <v>1415</v>
      </c>
      <c r="H180" s="7" t="s">
        <v>1416</v>
      </c>
      <c r="I180" s="7" t="s">
        <v>125</v>
      </c>
      <c r="J180" s="7" t="s">
        <v>73</v>
      </c>
      <c r="K180" s="10" t="s">
        <v>87</v>
      </c>
      <c r="L180" s="7"/>
      <c r="M180" s="7"/>
    </row>
    <row r="181" ht="15.75" customHeight="1">
      <c r="A181" s="8" t="s">
        <v>1417</v>
      </c>
      <c r="B181" s="8" t="s">
        <v>1411</v>
      </c>
      <c r="C181" s="8" t="s">
        <v>1412</v>
      </c>
      <c r="D181" s="8" t="s">
        <v>1418</v>
      </c>
      <c r="E181" s="8" t="s">
        <v>1336</v>
      </c>
      <c r="F181" s="8" t="s">
        <v>1419</v>
      </c>
      <c r="G181" s="8" t="s">
        <v>1415</v>
      </c>
      <c r="H181" s="8" t="s">
        <v>1416</v>
      </c>
      <c r="I181" s="8" t="s">
        <v>125</v>
      </c>
      <c r="J181" s="8" t="s">
        <v>73</v>
      </c>
      <c r="K181" s="11" t="s">
        <v>87</v>
      </c>
      <c r="L181" s="8"/>
      <c r="M181" s="8"/>
    </row>
    <row r="182" ht="15.75" customHeight="1">
      <c r="A182" s="7" t="s">
        <v>1420</v>
      </c>
      <c r="B182" s="7" t="s">
        <v>1411</v>
      </c>
      <c r="C182" s="7" t="s">
        <v>1412</v>
      </c>
      <c r="D182" s="7" t="s">
        <v>1421</v>
      </c>
      <c r="E182" s="7" t="s">
        <v>1422</v>
      </c>
      <c r="F182" s="7" t="s">
        <v>1423</v>
      </c>
      <c r="G182" s="7" t="s">
        <v>1415</v>
      </c>
      <c r="H182" s="7" t="s">
        <v>1424</v>
      </c>
      <c r="I182" s="7" t="s">
        <v>125</v>
      </c>
      <c r="J182" s="7" t="s">
        <v>73</v>
      </c>
      <c r="K182" s="10" t="s">
        <v>87</v>
      </c>
      <c r="L182" s="7"/>
      <c r="M182" s="10" t="s">
        <v>1425</v>
      </c>
    </row>
    <row r="183" ht="15.75" customHeight="1">
      <c r="A183" s="8" t="s">
        <v>1426</v>
      </c>
      <c r="B183" s="8" t="s">
        <v>1411</v>
      </c>
      <c r="C183" s="8" t="s">
        <v>1412</v>
      </c>
      <c r="D183" s="8" t="s">
        <v>1427</v>
      </c>
      <c r="E183" s="8" t="s">
        <v>1422</v>
      </c>
      <c r="F183" s="8" t="s">
        <v>1428</v>
      </c>
      <c r="G183" s="8" t="s">
        <v>1415</v>
      </c>
      <c r="H183" s="8" t="s">
        <v>1429</v>
      </c>
      <c r="I183" s="8" t="s">
        <v>125</v>
      </c>
      <c r="J183" s="8" t="s">
        <v>73</v>
      </c>
      <c r="K183" s="11" t="s">
        <v>87</v>
      </c>
      <c r="L183" s="8"/>
      <c r="M183" s="8"/>
    </row>
    <row r="184" ht="15.75" customHeight="1">
      <c r="A184" s="7" t="s">
        <v>1430</v>
      </c>
      <c r="B184" s="7" t="s">
        <v>1411</v>
      </c>
      <c r="C184" s="7" t="s">
        <v>1412</v>
      </c>
      <c r="D184" s="7" t="s">
        <v>1431</v>
      </c>
      <c r="E184" s="7" t="s">
        <v>199</v>
      </c>
      <c r="F184" s="7" t="s">
        <v>1432</v>
      </c>
      <c r="G184" s="7" t="s">
        <v>119</v>
      </c>
      <c r="H184" s="7" t="s">
        <v>1433</v>
      </c>
      <c r="I184" s="7" t="s">
        <v>125</v>
      </c>
      <c r="J184" s="7" t="s">
        <v>73</v>
      </c>
      <c r="K184" s="10" t="s">
        <v>87</v>
      </c>
      <c r="L184" s="7"/>
      <c r="M184" s="10" t="s">
        <v>1434</v>
      </c>
    </row>
    <row r="185" ht="15.75" customHeight="1">
      <c r="A185" s="8" t="s">
        <v>1435</v>
      </c>
      <c r="B185" s="8" t="s">
        <v>1411</v>
      </c>
      <c r="C185" s="8" t="s">
        <v>1412</v>
      </c>
      <c r="D185" s="8" t="s">
        <v>1436</v>
      </c>
      <c r="E185" s="8" t="s">
        <v>1437</v>
      </c>
      <c r="F185" s="8" t="s">
        <v>1438</v>
      </c>
      <c r="G185" s="8" t="s">
        <v>119</v>
      </c>
      <c r="H185" s="8" t="s">
        <v>1439</v>
      </c>
      <c r="I185" s="8" t="s">
        <v>344</v>
      </c>
      <c r="J185" s="8" t="s">
        <v>73</v>
      </c>
      <c r="K185" s="11" t="s">
        <v>87</v>
      </c>
      <c r="L185" s="8"/>
      <c r="M185" s="8"/>
    </row>
    <row r="186" ht="15.75" customHeight="1">
      <c r="A186" s="7" t="s">
        <v>1440</v>
      </c>
      <c r="B186" s="7" t="s">
        <v>1411</v>
      </c>
      <c r="C186" s="7" t="s">
        <v>1412</v>
      </c>
      <c r="D186" s="7" t="s">
        <v>1441</v>
      </c>
      <c r="E186" s="7" t="s">
        <v>1437</v>
      </c>
      <c r="F186" s="7" t="s">
        <v>1442</v>
      </c>
      <c r="G186" s="7" t="s">
        <v>1443</v>
      </c>
      <c r="H186" s="7" t="s">
        <v>1444</v>
      </c>
      <c r="I186" s="7" t="s">
        <v>71</v>
      </c>
      <c r="J186" s="7" t="s">
        <v>73</v>
      </c>
      <c r="K186" s="10" t="s">
        <v>189</v>
      </c>
      <c r="L186" s="7"/>
      <c r="M186" s="7"/>
    </row>
    <row r="187" ht="15.75" customHeight="1">
      <c r="A187" s="8" t="s">
        <v>1445</v>
      </c>
      <c r="B187" s="8" t="s">
        <v>1411</v>
      </c>
      <c r="C187" s="8" t="s">
        <v>1412</v>
      </c>
      <c r="D187" s="8" t="s">
        <v>1446</v>
      </c>
      <c r="E187" s="8" t="s">
        <v>1447</v>
      </c>
      <c r="F187" s="8" t="s">
        <v>707</v>
      </c>
      <c r="G187" s="8" t="s">
        <v>119</v>
      </c>
      <c r="H187" s="8" t="s">
        <v>1448</v>
      </c>
      <c r="I187" s="8" t="s">
        <v>165</v>
      </c>
      <c r="J187" s="8" t="s">
        <v>73</v>
      </c>
      <c r="K187" s="11" t="s">
        <v>87</v>
      </c>
      <c r="L187" s="8"/>
      <c r="M187" s="8"/>
    </row>
    <row r="188" ht="15.75" customHeight="1">
      <c r="A188" s="7" t="s">
        <v>1449</v>
      </c>
      <c r="B188" s="7" t="s">
        <v>1411</v>
      </c>
      <c r="C188" s="7" t="s">
        <v>1412</v>
      </c>
      <c r="D188" s="7" t="s">
        <v>1450</v>
      </c>
      <c r="E188" s="7" t="s">
        <v>1451</v>
      </c>
      <c r="F188" s="7" t="s">
        <v>707</v>
      </c>
      <c r="G188" s="7" t="s">
        <v>1452</v>
      </c>
      <c r="H188" s="7" t="s">
        <v>1453</v>
      </c>
      <c r="I188" s="7" t="s">
        <v>165</v>
      </c>
      <c r="J188" s="7" t="s">
        <v>73</v>
      </c>
      <c r="K188" s="10" t="s">
        <v>87</v>
      </c>
      <c r="L188" s="7"/>
      <c r="M188" s="7"/>
    </row>
    <row r="189" ht="15.75" customHeight="1">
      <c r="A189" s="8" t="s">
        <v>1454</v>
      </c>
      <c r="B189" s="8" t="s">
        <v>1411</v>
      </c>
      <c r="C189" s="8" t="s">
        <v>1412</v>
      </c>
      <c r="D189" s="8" t="s">
        <v>1455</v>
      </c>
      <c r="E189" s="8" t="s">
        <v>1456</v>
      </c>
      <c r="F189" s="8" t="s">
        <v>707</v>
      </c>
      <c r="G189" s="8" t="s">
        <v>119</v>
      </c>
      <c r="H189" s="8" t="s">
        <v>1457</v>
      </c>
      <c r="I189" s="8" t="s">
        <v>125</v>
      </c>
      <c r="J189" s="8" t="s">
        <v>73</v>
      </c>
      <c r="K189" s="11" t="s">
        <v>87</v>
      </c>
      <c r="L189" s="8"/>
      <c r="M189" s="8"/>
    </row>
    <row r="190" ht="15.75" customHeight="1">
      <c r="A190" s="7" t="s">
        <v>1458</v>
      </c>
      <c r="B190" s="7" t="s">
        <v>1411</v>
      </c>
      <c r="C190" s="7" t="s">
        <v>1412</v>
      </c>
      <c r="D190" s="7" t="s">
        <v>1459</v>
      </c>
      <c r="E190" s="7" t="s">
        <v>1460</v>
      </c>
      <c r="F190" s="7" t="s">
        <v>1461</v>
      </c>
      <c r="G190" s="7" t="s">
        <v>119</v>
      </c>
      <c r="H190" s="7" t="s">
        <v>1462</v>
      </c>
      <c r="I190" s="7" t="s">
        <v>165</v>
      </c>
      <c r="J190" s="7" t="s">
        <v>73</v>
      </c>
      <c r="K190" s="10" t="s">
        <v>87</v>
      </c>
      <c r="L190" s="7"/>
      <c r="M190" s="7"/>
    </row>
    <row r="191" ht="15.75" customHeight="1">
      <c r="A191" s="8" t="s">
        <v>1463</v>
      </c>
      <c r="B191" s="8" t="s">
        <v>1411</v>
      </c>
      <c r="C191" s="8" t="s">
        <v>1412</v>
      </c>
      <c r="D191" s="8" t="s">
        <v>1464</v>
      </c>
      <c r="E191" s="8" t="s">
        <v>1465</v>
      </c>
      <c r="F191" s="8" t="s">
        <v>1466</v>
      </c>
      <c r="G191" s="8" t="s">
        <v>119</v>
      </c>
      <c r="H191" s="8" t="s">
        <v>1467</v>
      </c>
      <c r="I191" s="8" t="s">
        <v>71</v>
      </c>
      <c r="J191" s="8" t="s">
        <v>73</v>
      </c>
      <c r="K191" s="11" t="s">
        <v>87</v>
      </c>
      <c r="L191" s="8"/>
      <c r="M191" s="8"/>
    </row>
    <row r="192" ht="15.75" customHeight="1">
      <c r="A192" s="7" t="s">
        <v>1468</v>
      </c>
      <c r="B192" s="7" t="s">
        <v>1411</v>
      </c>
      <c r="C192" s="7" t="s">
        <v>1412</v>
      </c>
      <c r="D192" s="7" t="s">
        <v>1469</v>
      </c>
      <c r="E192" s="7" t="s">
        <v>1470</v>
      </c>
      <c r="F192" s="7" t="s">
        <v>1471</v>
      </c>
      <c r="G192" s="7" t="s">
        <v>119</v>
      </c>
      <c r="H192" s="7" t="s">
        <v>1472</v>
      </c>
      <c r="I192" s="7" t="s">
        <v>125</v>
      </c>
      <c r="J192" s="7" t="s">
        <v>73</v>
      </c>
      <c r="K192" s="10" t="s">
        <v>87</v>
      </c>
      <c r="L192" s="7"/>
      <c r="M192" s="7"/>
    </row>
    <row r="193" ht="15.75" customHeight="1">
      <c r="A193" s="8" t="s">
        <v>1473</v>
      </c>
      <c r="B193" s="8" t="s">
        <v>1411</v>
      </c>
      <c r="C193" s="8" t="s">
        <v>1412</v>
      </c>
      <c r="D193" s="8" t="s">
        <v>1474</v>
      </c>
      <c r="E193" s="8" t="s">
        <v>1475</v>
      </c>
      <c r="F193" s="8" t="s">
        <v>1476</v>
      </c>
      <c r="G193" s="8" t="s">
        <v>119</v>
      </c>
      <c r="H193" s="8" t="s">
        <v>716</v>
      </c>
      <c r="I193" s="8" t="s">
        <v>125</v>
      </c>
      <c r="J193" s="8" t="s">
        <v>73</v>
      </c>
      <c r="K193" s="11" t="s">
        <v>87</v>
      </c>
      <c r="L193" s="8"/>
      <c r="M193" s="8"/>
    </row>
    <row r="194" ht="15.75" customHeight="1">
      <c r="A194" s="7" t="s">
        <v>1477</v>
      </c>
      <c r="B194" s="7" t="s">
        <v>1411</v>
      </c>
      <c r="C194" s="7" t="s">
        <v>1412</v>
      </c>
      <c r="D194" s="7" t="s">
        <v>1478</v>
      </c>
      <c r="E194" s="7" t="s">
        <v>1479</v>
      </c>
      <c r="F194" s="7" t="s">
        <v>986</v>
      </c>
      <c r="G194" s="7" t="s">
        <v>119</v>
      </c>
      <c r="H194" s="7" t="s">
        <v>1480</v>
      </c>
      <c r="I194" s="7" t="s">
        <v>71</v>
      </c>
      <c r="J194" s="7" t="s">
        <v>73</v>
      </c>
      <c r="K194" s="10" t="s">
        <v>87</v>
      </c>
      <c r="L194" s="7"/>
      <c r="M194" s="7"/>
    </row>
    <row r="195" ht="15.75" customHeight="1">
      <c r="A195" s="8" t="s">
        <v>1481</v>
      </c>
      <c r="B195" s="8" t="s">
        <v>1411</v>
      </c>
      <c r="C195" s="8" t="s">
        <v>1412</v>
      </c>
      <c r="D195" s="8" t="s">
        <v>1482</v>
      </c>
      <c r="E195" s="8" t="s">
        <v>1483</v>
      </c>
      <c r="F195" s="8" t="s">
        <v>868</v>
      </c>
      <c r="G195" s="8" t="s">
        <v>119</v>
      </c>
      <c r="H195" s="8" t="s">
        <v>1484</v>
      </c>
      <c r="I195" s="8" t="s">
        <v>125</v>
      </c>
      <c r="J195" s="8" t="s">
        <v>73</v>
      </c>
      <c r="K195" s="11" t="s">
        <v>87</v>
      </c>
      <c r="L195" s="8"/>
      <c r="M195" s="8"/>
    </row>
    <row r="196" ht="15.75" customHeight="1">
      <c r="A196" s="7" t="s">
        <v>1485</v>
      </c>
      <c r="B196" s="7" t="s">
        <v>1411</v>
      </c>
      <c r="C196" s="7" t="s">
        <v>1412</v>
      </c>
      <c r="D196" s="7" t="s">
        <v>1486</v>
      </c>
      <c r="E196" s="7" t="s">
        <v>1483</v>
      </c>
      <c r="F196" s="7" t="s">
        <v>1487</v>
      </c>
      <c r="G196" s="7" t="s">
        <v>119</v>
      </c>
      <c r="H196" s="7" t="s">
        <v>1488</v>
      </c>
      <c r="I196" s="7" t="s">
        <v>344</v>
      </c>
      <c r="J196" s="7" t="s">
        <v>73</v>
      </c>
      <c r="K196" s="10" t="s">
        <v>87</v>
      </c>
      <c r="L196" s="7"/>
      <c r="M196" s="7"/>
    </row>
    <row r="197" ht="15.75" customHeight="1">
      <c r="A197" s="8" t="s">
        <v>1489</v>
      </c>
      <c r="B197" s="8" t="s">
        <v>1411</v>
      </c>
      <c r="C197" s="8" t="s">
        <v>1412</v>
      </c>
      <c r="D197" s="8" t="s">
        <v>1490</v>
      </c>
      <c r="E197" s="8" t="s">
        <v>1491</v>
      </c>
      <c r="F197" s="8" t="s">
        <v>1492</v>
      </c>
      <c r="G197" s="8" t="s">
        <v>1493</v>
      </c>
      <c r="H197" s="8" t="s">
        <v>1494</v>
      </c>
      <c r="I197" s="8" t="s">
        <v>71</v>
      </c>
      <c r="J197" s="8" t="s">
        <v>73</v>
      </c>
      <c r="K197" s="11" t="s">
        <v>87</v>
      </c>
      <c r="L197" s="8"/>
      <c r="M197" s="8"/>
    </row>
    <row r="198" ht="15.75" customHeight="1">
      <c r="A198" s="7" t="s">
        <v>1495</v>
      </c>
      <c r="B198" s="7" t="s">
        <v>1411</v>
      </c>
      <c r="C198" s="7" t="s">
        <v>1412</v>
      </c>
      <c r="D198" s="7" t="s">
        <v>1496</v>
      </c>
      <c r="E198" s="7" t="s">
        <v>1497</v>
      </c>
      <c r="F198" s="7" t="s">
        <v>1498</v>
      </c>
      <c r="G198" s="7" t="s">
        <v>119</v>
      </c>
      <c r="H198" s="7" t="s">
        <v>1499</v>
      </c>
      <c r="I198" s="7" t="s">
        <v>71</v>
      </c>
      <c r="J198" s="7" t="s">
        <v>73</v>
      </c>
      <c r="K198" s="10" t="s">
        <v>87</v>
      </c>
      <c r="L198" s="7"/>
      <c r="M198" s="7"/>
    </row>
    <row r="199" ht="15.75" customHeight="1">
      <c r="A199" s="8" t="s">
        <v>1500</v>
      </c>
      <c r="B199" s="8" t="s">
        <v>1411</v>
      </c>
      <c r="C199" s="8" t="s">
        <v>1412</v>
      </c>
      <c r="D199" s="8" t="s">
        <v>1501</v>
      </c>
      <c r="E199" s="8" t="s">
        <v>1479</v>
      </c>
      <c r="F199" s="8" t="s">
        <v>1502</v>
      </c>
      <c r="G199" s="8" t="s">
        <v>119</v>
      </c>
      <c r="H199" s="8" t="s">
        <v>1503</v>
      </c>
      <c r="I199" s="8" t="s">
        <v>71</v>
      </c>
      <c r="J199" s="8" t="s">
        <v>73</v>
      </c>
      <c r="K199" s="11" t="s">
        <v>957</v>
      </c>
      <c r="L199" s="8"/>
      <c r="M199" s="8"/>
    </row>
    <row r="200" ht="15.75" customHeight="1">
      <c r="A200" s="32" t="s">
        <v>1504</v>
      </c>
      <c r="B200" s="32" t="s">
        <v>1505</v>
      </c>
      <c r="C200" s="32" t="s">
        <v>1506</v>
      </c>
      <c r="D200" s="32" t="s">
        <v>1507</v>
      </c>
      <c r="E200" s="32" t="s">
        <v>307</v>
      </c>
      <c r="F200" s="32" t="s">
        <v>1508</v>
      </c>
      <c r="G200" s="32" t="s">
        <v>119</v>
      </c>
      <c r="H200" s="32" t="s">
        <v>578</v>
      </c>
      <c r="I200" s="32" t="s">
        <v>165</v>
      </c>
      <c r="J200" s="32" t="s">
        <v>73</v>
      </c>
      <c r="K200" s="32" t="s">
        <v>168</v>
      </c>
      <c r="L200" s="32"/>
      <c r="M200" s="32"/>
      <c r="N200" s="33"/>
      <c r="O200" s="33"/>
      <c r="P200" s="33"/>
      <c r="Q200" s="33"/>
      <c r="R200" s="33"/>
      <c r="S200" s="33"/>
      <c r="T200" s="33"/>
      <c r="U200" s="33"/>
      <c r="V200" s="33"/>
      <c r="W200" s="33"/>
      <c r="X200" s="33"/>
      <c r="Y200" s="33"/>
      <c r="Z200" s="33"/>
    </row>
    <row r="201" ht="15.75" customHeight="1">
      <c r="A201" s="32" t="s">
        <v>1509</v>
      </c>
      <c r="B201" s="32" t="s">
        <v>1505</v>
      </c>
      <c r="C201" s="32" t="s">
        <v>1506</v>
      </c>
      <c r="D201" s="32" t="s">
        <v>1510</v>
      </c>
      <c r="E201" s="32" t="s">
        <v>1479</v>
      </c>
      <c r="F201" s="32" t="s">
        <v>1511</v>
      </c>
      <c r="G201" s="32" t="s">
        <v>119</v>
      </c>
      <c r="H201" s="32" t="s">
        <v>1512</v>
      </c>
      <c r="I201" s="32" t="s">
        <v>71</v>
      </c>
      <c r="J201" s="32" t="s">
        <v>73</v>
      </c>
      <c r="K201" s="32" t="s">
        <v>168</v>
      </c>
      <c r="L201" s="32"/>
      <c r="M201" s="32"/>
      <c r="N201" s="33"/>
      <c r="O201" s="33"/>
      <c r="P201" s="33"/>
      <c r="Q201" s="33"/>
      <c r="R201" s="33"/>
      <c r="S201" s="33"/>
      <c r="T201" s="33"/>
      <c r="U201" s="33"/>
      <c r="V201" s="33"/>
      <c r="W201" s="33"/>
      <c r="X201" s="33"/>
      <c r="Y201" s="33"/>
      <c r="Z201" s="33"/>
    </row>
    <row r="202" ht="15.75" customHeight="1">
      <c r="A202" s="32" t="s">
        <v>1513</v>
      </c>
      <c r="B202" s="32" t="s">
        <v>1505</v>
      </c>
      <c r="C202" s="32" t="s">
        <v>1506</v>
      </c>
      <c r="D202" s="32" t="s">
        <v>1514</v>
      </c>
      <c r="E202" s="32" t="s">
        <v>1479</v>
      </c>
      <c r="F202" s="32" t="s">
        <v>1515</v>
      </c>
      <c r="G202" s="32" t="s">
        <v>119</v>
      </c>
      <c r="H202" s="32" t="s">
        <v>1516</v>
      </c>
      <c r="I202" s="32" t="s">
        <v>71</v>
      </c>
      <c r="J202" s="32" t="s">
        <v>73</v>
      </c>
      <c r="K202" s="32" t="s">
        <v>168</v>
      </c>
      <c r="L202" s="32"/>
      <c r="M202" s="32"/>
      <c r="N202" s="33"/>
      <c r="O202" s="33"/>
      <c r="P202" s="33"/>
      <c r="Q202" s="33"/>
      <c r="R202" s="33"/>
      <c r="S202" s="33"/>
      <c r="T202" s="33"/>
      <c r="U202" s="33"/>
      <c r="V202" s="33"/>
      <c r="W202" s="33"/>
      <c r="X202" s="33"/>
      <c r="Y202" s="33"/>
      <c r="Z202" s="33"/>
    </row>
    <row r="203" ht="15.75" customHeight="1">
      <c r="A203" s="32" t="s">
        <v>1517</v>
      </c>
      <c r="B203" s="32" t="s">
        <v>1505</v>
      </c>
      <c r="C203" s="32" t="s">
        <v>1506</v>
      </c>
      <c r="D203" s="32" t="s">
        <v>1518</v>
      </c>
      <c r="E203" s="32" t="s">
        <v>1519</v>
      </c>
      <c r="F203" s="32" t="s">
        <v>1520</v>
      </c>
      <c r="G203" s="32" t="s">
        <v>119</v>
      </c>
      <c r="H203" s="32" t="s">
        <v>1521</v>
      </c>
      <c r="I203" s="32" t="s">
        <v>71</v>
      </c>
      <c r="J203" s="32" t="s">
        <v>73</v>
      </c>
      <c r="K203" s="32" t="s">
        <v>168</v>
      </c>
      <c r="L203" s="32"/>
      <c r="M203" s="32"/>
      <c r="N203" s="33"/>
      <c r="O203" s="33"/>
      <c r="P203" s="33"/>
      <c r="Q203" s="33"/>
      <c r="R203" s="33"/>
      <c r="S203" s="33"/>
      <c r="T203" s="33"/>
      <c r="U203" s="33"/>
      <c r="V203" s="33"/>
      <c r="W203" s="33"/>
      <c r="X203" s="33"/>
      <c r="Y203" s="33"/>
      <c r="Z203" s="33"/>
    </row>
    <row r="204" ht="15.75" customHeight="1">
      <c r="A204" s="32" t="s">
        <v>1522</v>
      </c>
      <c r="B204" s="32" t="s">
        <v>1505</v>
      </c>
      <c r="C204" s="32" t="s">
        <v>1506</v>
      </c>
      <c r="D204" s="32" t="s">
        <v>1523</v>
      </c>
      <c r="E204" s="32" t="s">
        <v>1524</v>
      </c>
      <c r="F204" s="32" t="s">
        <v>1525</v>
      </c>
      <c r="G204" s="32" t="s">
        <v>119</v>
      </c>
      <c r="H204" s="32" t="s">
        <v>1526</v>
      </c>
      <c r="I204" s="32" t="s">
        <v>71</v>
      </c>
      <c r="J204" s="32" t="s">
        <v>73</v>
      </c>
      <c r="K204" s="32" t="s">
        <v>168</v>
      </c>
      <c r="L204" s="32"/>
      <c r="M204" s="32"/>
      <c r="N204" s="33"/>
      <c r="O204" s="33"/>
      <c r="P204" s="33"/>
      <c r="Q204" s="33"/>
      <c r="R204" s="33"/>
      <c r="S204" s="33"/>
      <c r="T204" s="33"/>
      <c r="U204" s="33"/>
      <c r="V204" s="33"/>
      <c r="W204" s="33"/>
      <c r="X204" s="33"/>
      <c r="Y204" s="33"/>
      <c r="Z204" s="33"/>
    </row>
    <row r="205" ht="15.75" customHeight="1">
      <c r="A205" s="32" t="s">
        <v>1527</v>
      </c>
      <c r="B205" s="32" t="s">
        <v>1505</v>
      </c>
      <c r="C205" s="32" t="s">
        <v>1506</v>
      </c>
      <c r="D205" s="32" t="s">
        <v>1528</v>
      </c>
      <c r="E205" s="32" t="s">
        <v>1529</v>
      </c>
      <c r="F205" s="32" t="s">
        <v>1530</v>
      </c>
      <c r="G205" s="32" t="s">
        <v>119</v>
      </c>
      <c r="H205" s="32" t="s">
        <v>1531</v>
      </c>
      <c r="I205" s="32" t="s">
        <v>71</v>
      </c>
      <c r="J205" s="32" t="s">
        <v>73</v>
      </c>
      <c r="K205" s="32" t="s">
        <v>168</v>
      </c>
      <c r="L205" s="32"/>
      <c r="M205" s="32"/>
      <c r="N205" s="33"/>
      <c r="O205" s="33"/>
      <c r="P205" s="33"/>
      <c r="Q205" s="33"/>
      <c r="R205" s="33"/>
      <c r="S205" s="33"/>
      <c r="T205" s="33"/>
      <c r="U205" s="33"/>
      <c r="V205" s="33"/>
      <c r="W205" s="33"/>
      <c r="X205" s="33"/>
      <c r="Y205" s="33"/>
      <c r="Z205" s="33"/>
    </row>
    <row r="206" ht="15.75" customHeight="1">
      <c r="A206" s="32" t="s">
        <v>1532</v>
      </c>
      <c r="B206" s="32" t="s">
        <v>1505</v>
      </c>
      <c r="C206" s="32" t="s">
        <v>1506</v>
      </c>
      <c r="D206" s="32" t="s">
        <v>1533</v>
      </c>
      <c r="E206" s="32" t="s">
        <v>1534</v>
      </c>
      <c r="F206" s="32" t="s">
        <v>1535</v>
      </c>
      <c r="G206" s="32" t="s">
        <v>119</v>
      </c>
      <c r="H206" s="32" t="s">
        <v>1536</v>
      </c>
      <c r="I206" s="32" t="s">
        <v>71</v>
      </c>
      <c r="J206" s="32" t="s">
        <v>73</v>
      </c>
      <c r="K206" s="32" t="s">
        <v>168</v>
      </c>
      <c r="L206" s="32"/>
      <c r="M206" s="32"/>
      <c r="N206" s="33"/>
      <c r="O206" s="33"/>
      <c r="P206" s="33"/>
      <c r="Q206" s="33"/>
      <c r="R206" s="33"/>
      <c r="S206" s="33"/>
      <c r="T206" s="33"/>
      <c r="U206" s="33"/>
      <c r="V206" s="33"/>
      <c r="W206" s="33"/>
      <c r="X206" s="33"/>
      <c r="Y206" s="33"/>
      <c r="Z206" s="33"/>
    </row>
    <row r="207" ht="15.75" customHeight="1">
      <c r="A207" s="32" t="s">
        <v>1537</v>
      </c>
      <c r="B207" s="32" t="s">
        <v>1505</v>
      </c>
      <c r="C207" s="32" t="s">
        <v>1506</v>
      </c>
      <c r="D207" s="32" t="s">
        <v>1538</v>
      </c>
      <c r="E207" s="32" t="s">
        <v>1539</v>
      </c>
      <c r="F207" s="32" t="s">
        <v>1540</v>
      </c>
      <c r="G207" s="32" t="s">
        <v>119</v>
      </c>
      <c r="H207" s="32" t="s">
        <v>1541</v>
      </c>
      <c r="I207" s="32" t="s">
        <v>71</v>
      </c>
      <c r="J207" s="32" t="s">
        <v>73</v>
      </c>
      <c r="K207" s="32" t="s">
        <v>168</v>
      </c>
      <c r="L207" s="32"/>
      <c r="M207" s="32"/>
      <c r="N207" s="33"/>
      <c r="O207" s="33"/>
      <c r="P207" s="33"/>
      <c r="Q207" s="33"/>
      <c r="R207" s="33"/>
      <c r="S207" s="33"/>
      <c r="T207" s="33"/>
      <c r="U207" s="33"/>
      <c r="V207" s="33"/>
      <c r="W207" s="33"/>
      <c r="X207" s="33"/>
      <c r="Y207" s="33"/>
      <c r="Z207" s="33"/>
    </row>
    <row r="208" ht="15.75" customHeight="1">
      <c r="A208" s="32" t="s">
        <v>1542</v>
      </c>
      <c r="B208" s="32" t="s">
        <v>1505</v>
      </c>
      <c r="C208" s="32" t="s">
        <v>1506</v>
      </c>
      <c r="D208" s="32" t="s">
        <v>1543</v>
      </c>
      <c r="E208" s="32" t="s">
        <v>1539</v>
      </c>
      <c r="F208" s="32" t="s">
        <v>1544</v>
      </c>
      <c r="G208" s="32" t="s">
        <v>119</v>
      </c>
      <c r="H208" s="32" t="s">
        <v>1545</v>
      </c>
      <c r="I208" s="32" t="s">
        <v>71</v>
      </c>
      <c r="J208" s="32" t="s">
        <v>73</v>
      </c>
      <c r="K208" s="32" t="s">
        <v>168</v>
      </c>
      <c r="L208" s="32"/>
      <c r="M208" s="32"/>
      <c r="N208" s="33"/>
      <c r="O208" s="33"/>
      <c r="P208" s="33"/>
      <c r="Q208" s="33"/>
      <c r="R208" s="33"/>
      <c r="S208" s="33"/>
      <c r="T208" s="33"/>
      <c r="U208" s="33"/>
      <c r="V208" s="33"/>
      <c r="W208" s="33"/>
      <c r="X208" s="33"/>
      <c r="Y208" s="33"/>
      <c r="Z208" s="33"/>
    </row>
    <row r="209" ht="15.75" customHeight="1">
      <c r="A209" s="32" t="s">
        <v>1546</v>
      </c>
      <c r="B209" s="32" t="s">
        <v>1505</v>
      </c>
      <c r="C209" s="32" t="s">
        <v>1506</v>
      </c>
      <c r="D209" s="32" t="s">
        <v>1547</v>
      </c>
      <c r="E209" s="32" t="s">
        <v>1548</v>
      </c>
      <c r="F209" s="32" t="s">
        <v>1549</v>
      </c>
      <c r="G209" s="32" t="s">
        <v>119</v>
      </c>
      <c r="H209" s="32" t="s">
        <v>1550</v>
      </c>
      <c r="I209" s="32" t="s">
        <v>71</v>
      </c>
      <c r="J209" s="32" t="s">
        <v>73</v>
      </c>
      <c r="K209" s="32" t="s">
        <v>168</v>
      </c>
      <c r="L209" s="32"/>
      <c r="M209" s="32"/>
      <c r="N209" s="33"/>
      <c r="O209" s="33"/>
      <c r="P209" s="33"/>
      <c r="Q209" s="33"/>
      <c r="R209" s="33"/>
      <c r="S209" s="33"/>
      <c r="T209" s="33"/>
      <c r="U209" s="33"/>
      <c r="V209" s="33"/>
      <c r="W209" s="33"/>
      <c r="X209" s="33"/>
      <c r="Y209" s="33"/>
      <c r="Z209" s="33"/>
    </row>
    <row r="210" ht="15.75" customHeight="1">
      <c r="A210" s="7" t="s">
        <v>1551</v>
      </c>
      <c r="B210" s="7" t="s">
        <v>1552</v>
      </c>
      <c r="C210" s="7" t="s">
        <v>101</v>
      </c>
      <c r="D210" s="7" t="s">
        <v>1553</v>
      </c>
      <c r="E210" s="7" t="s">
        <v>199</v>
      </c>
      <c r="F210" s="7" t="s">
        <v>1554</v>
      </c>
      <c r="G210" s="7" t="s">
        <v>119</v>
      </c>
      <c r="H210" s="7" t="s">
        <v>1555</v>
      </c>
      <c r="I210" s="7" t="s">
        <v>125</v>
      </c>
      <c r="J210" s="7" t="s">
        <v>73</v>
      </c>
      <c r="K210" s="10" t="s">
        <v>87</v>
      </c>
      <c r="L210" s="7"/>
      <c r="M210" s="10" t="s">
        <v>1556</v>
      </c>
    </row>
    <row r="211" ht="15.75" customHeight="1">
      <c r="A211" s="8" t="s">
        <v>1557</v>
      </c>
      <c r="B211" s="8" t="s">
        <v>1552</v>
      </c>
      <c r="C211" s="8" t="s">
        <v>101</v>
      </c>
      <c r="D211" s="8" t="s">
        <v>1558</v>
      </c>
      <c r="E211" s="8" t="s">
        <v>1559</v>
      </c>
      <c r="F211" s="8" t="s">
        <v>1560</v>
      </c>
      <c r="G211" s="8" t="s">
        <v>119</v>
      </c>
      <c r="H211" s="8" t="s">
        <v>1561</v>
      </c>
      <c r="I211" s="8" t="s">
        <v>165</v>
      </c>
      <c r="J211" s="8" t="s">
        <v>73</v>
      </c>
      <c r="K211" s="11" t="s">
        <v>87</v>
      </c>
      <c r="L211" s="11" t="s">
        <v>1562</v>
      </c>
      <c r="M211" s="11" t="s">
        <v>1563</v>
      </c>
    </row>
    <row r="212" ht="15.75" customHeight="1">
      <c r="A212" s="7" t="s">
        <v>1564</v>
      </c>
      <c r="B212" s="7" t="s">
        <v>1552</v>
      </c>
      <c r="C212" s="7" t="s">
        <v>101</v>
      </c>
      <c r="D212" s="7" t="s">
        <v>1565</v>
      </c>
      <c r="E212" s="7" t="s">
        <v>1566</v>
      </c>
      <c r="F212" s="7" t="s">
        <v>1567</v>
      </c>
      <c r="G212" s="7" t="s">
        <v>119</v>
      </c>
      <c r="H212" s="7" t="s">
        <v>1568</v>
      </c>
      <c r="I212" s="7" t="s">
        <v>165</v>
      </c>
      <c r="J212" s="7" t="s">
        <v>73</v>
      </c>
      <c r="K212" s="10" t="s">
        <v>87</v>
      </c>
      <c r="L212" s="7"/>
      <c r="M212" s="7"/>
    </row>
    <row r="213" ht="15.75" customHeight="1">
      <c r="A213" s="8" t="s">
        <v>1569</v>
      </c>
      <c r="B213" s="8" t="s">
        <v>1552</v>
      </c>
      <c r="C213" s="8" t="s">
        <v>101</v>
      </c>
      <c r="D213" s="8" t="s">
        <v>1570</v>
      </c>
      <c r="E213" s="8" t="s">
        <v>1571</v>
      </c>
      <c r="F213" s="8" t="s">
        <v>1572</v>
      </c>
      <c r="G213" s="8" t="s">
        <v>119</v>
      </c>
      <c r="H213" s="8" t="s">
        <v>1573</v>
      </c>
      <c r="I213" s="8" t="s">
        <v>165</v>
      </c>
      <c r="J213" s="8" t="s">
        <v>73</v>
      </c>
      <c r="K213" s="11" t="s">
        <v>87</v>
      </c>
      <c r="L213" s="8"/>
      <c r="M213" s="8"/>
    </row>
    <row r="214" ht="15.75" customHeight="1">
      <c r="A214" s="7" t="s">
        <v>1574</v>
      </c>
      <c r="B214" s="7" t="s">
        <v>1552</v>
      </c>
      <c r="C214" s="7" t="s">
        <v>101</v>
      </c>
      <c r="D214" s="7" t="s">
        <v>1575</v>
      </c>
      <c r="E214" s="7" t="s">
        <v>199</v>
      </c>
      <c r="F214" s="7" t="s">
        <v>1576</v>
      </c>
      <c r="G214" s="7" t="s">
        <v>119</v>
      </c>
      <c r="H214" s="7" t="s">
        <v>1577</v>
      </c>
      <c r="I214" s="7" t="s">
        <v>125</v>
      </c>
      <c r="J214" s="7" t="s">
        <v>73</v>
      </c>
      <c r="K214" s="10" t="s">
        <v>87</v>
      </c>
      <c r="L214" s="7"/>
      <c r="M214" s="7"/>
    </row>
    <row r="215" ht="19.5" customHeight="1">
      <c r="A215" s="32" t="s">
        <v>1578</v>
      </c>
      <c r="B215" s="32" t="s">
        <v>1552</v>
      </c>
      <c r="C215" s="32" t="s">
        <v>101</v>
      </c>
      <c r="D215" s="32" t="s">
        <v>1579</v>
      </c>
      <c r="E215" s="32" t="s">
        <v>1580</v>
      </c>
      <c r="F215" s="32" t="s">
        <v>1581</v>
      </c>
      <c r="G215" s="32" t="s">
        <v>119</v>
      </c>
      <c r="H215" s="32" t="s">
        <v>1582</v>
      </c>
      <c r="I215" s="32" t="s">
        <v>125</v>
      </c>
      <c r="J215" s="32" t="s">
        <v>73</v>
      </c>
      <c r="K215" s="32" t="s">
        <v>168</v>
      </c>
      <c r="L215" s="32"/>
      <c r="M215" s="32"/>
      <c r="N215" s="33"/>
      <c r="O215" s="33"/>
      <c r="P215" s="33"/>
      <c r="Q215" s="33"/>
      <c r="R215" s="33"/>
      <c r="S215" s="33"/>
      <c r="T215" s="33"/>
      <c r="U215" s="33"/>
      <c r="V215" s="33"/>
      <c r="W215" s="33"/>
      <c r="X215" s="33"/>
      <c r="Y215" s="33"/>
      <c r="Z215" s="33"/>
    </row>
    <row r="216" ht="15.75" customHeight="1">
      <c r="A216" s="8" t="s">
        <v>1583</v>
      </c>
      <c r="B216" s="8" t="s">
        <v>1552</v>
      </c>
      <c r="C216" s="8" t="s">
        <v>101</v>
      </c>
      <c r="D216" s="8" t="s">
        <v>1584</v>
      </c>
      <c r="E216" s="8" t="s">
        <v>307</v>
      </c>
      <c r="F216" s="8" t="s">
        <v>1585</v>
      </c>
      <c r="G216" s="8" t="s">
        <v>119</v>
      </c>
      <c r="H216" s="8" t="s">
        <v>578</v>
      </c>
      <c r="I216" s="8" t="s">
        <v>165</v>
      </c>
      <c r="J216" s="8" t="s">
        <v>73</v>
      </c>
      <c r="K216" s="11" t="s">
        <v>87</v>
      </c>
      <c r="L216" s="8"/>
      <c r="M216" s="8"/>
    </row>
    <row r="217" ht="15.75" customHeight="1">
      <c r="A217" s="8" t="s">
        <v>1586</v>
      </c>
      <c r="B217" s="8" t="s">
        <v>1587</v>
      </c>
      <c r="C217" s="8" t="s">
        <v>1588</v>
      </c>
      <c r="D217" s="8" t="s">
        <v>1589</v>
      </c>
      <c r="E217" s="8" t="s">
        <v>232</v>
      </c>
      <c r="F217" s="8" t="s">
        <v>1153</v>
      </c>
      <c r="G217" s="8" t="s">
        <v>119</v>
      </c>
      <c r="H217" s="8" t="s">
        <v>1590</v>
      </c>
      <c r="I217" s="8" t="s">
        <v>125</v>
      </c>
      <c r="J217" s="8" t="s">
        <v>73</v>
      </c>
      <c r="K217" s="11" t="s">
        <v>957</v>
      </c>
      <c r="L217" s="8"/>
      <c r="M217" s="8"/>
    </row>
    <row r="218" ht="15.75" customHeight="1">
      <c r="A218" s="7" t="s">
        <v>1591</v>
      </c>
      <c r="B218" s="7" t="s">
        <v>1587</v>
      </c>
      <c r="C218" s="7" t="s">
        <v>1588</v>
      </c>
      <c r="D218" s="7" t="s">
        <v>1592</v>
      </c>
      <c r="E218" s="7" t="s">
        <v>1593</v>
      </c>
      <c r="F218" s="7" t="s">
        <v>624</v>
      </c>
      <c r="G218" s="7" t="s">
        <v>119</v>
      </c>
      <c r="H218" s="7" t="s">
        <v>1594</v>
      </c>
      <c r="I218" s="7" t="s">
        <v>125</v>
      </c>
      <c r="J218" s="7" t="s">
        <v>73</v>
      </c>
      <c r="K218" s="10" t="s">
        <v>957</v>
      </c>
      <c r="L218" s="7"/>
      <c r="M218" s="7"/>
    </row>
    <row r="219" ht="15.75" customHeight="1">
      <c r="A219" s="8" t="s">
        <v>1595</v>
      </c>
      <c r="B219" s="8" t="s">
        <v>1587</v>
      </c>
      <c r="C219" s="8" t="s">
        <v>1588</v>
      </c>
      <c r="D219" s="8" t="s">
        <v>1596</v>
      </c>
      <c r="E219" s="8" t="s">
        <v>1597</v>
      </c>
      <c r="F219" s="8" t="s">
        <v>1598</v>
      </c>
      <c r="G219" s="8" t="s">
        <v>119</v>
      </c>
      <c r="H219" s="8" t="s">
        <v>1599</v>
      </c>
      <c r="I219" s="8" t="s">
        <v>71</v>
      </c>
      <c r="J219" s="8" t="s">
        <v>73</v>
      </c>
      <c r="K219" s="11" t="s">
        <v>957</v>
      </c>
      <c r="L219" s="8"/>
      <c r="M219" s="8"/>
    </row>
    <row r="220" ht="15.75" customHeight="1">
      <c r="A220" s="7" t="s">
        <v>1600</v>
      </c>
      <c r="B220" s="7" t="s">
        <v>1587</v>
      </c>
      <c r="C220" s="7" t="s">
        <v>1588</v>
      </c>
      <c r="D220" s="7" t="s">
        <v>1601</v>
      </c>
      <c r="E220" s="7" t="s">
        <v>1602</v>
      </c>
      <c r="F220" s="7" t="s">
        <v>1603</v>
      </c>
      <c r="G220" s="7" t="s">
        <v>119</v>
      </c>
      <c r="H220" s="7" t="s">
        <v>1604</v>
      </c>
      <c r="I220" s="7" t="s">
        <v>125</v>
      </c>
      <c r="J220" s="7" t="s">
        <v>73</v>
      </c>
      <c r="K220" s="10" t="s">
        <v>957</v>
      </c>
      <c r="L220" s="7"/>
      <c r="M220" s="7"/>
    </row>
    <row r="221" ht="15.75" customHeight="1">
      <c r="A221" s="8" t="s">
        <v>1605</v>
      </c>
      <c r="B221" s="8" t="s">
        <v>1587</v>
      </c>
      <c r="C221" s="8" t="s">
        <v>1588</v>
      </c>
      <c r="D221" s="8" t="s">
        <v>1606</v>
      </c>
      <c r="E221" s="8" t="s">
        <v>1607</v>
      </c>
      <c r="F221" s="8" t="s">
        <v>1603</v>
      </c>
      <c r="G221" s="8" t="s">
        <v>119</v>
      </c>
      <c r="H221" s="8" t="s">
        <v>1608</v>
      </c>
      <c r="I221" s="8" t="s">
        <v>125</v>
      </c>
      <c r="J221" s="8" t="s">
        <v>73</v>
      </c>
      <c r="K221" s="11" t="s">
        <v>957</v>
      </c>
      <c r="L221" s="8"/>
      <c r="M221" s="8"/>
    </row>
    <row r="222" ht="15.75" customHeight="1">
      <c r="A222" s="7" t="s">
        <v>1609</v>
      </c>
      <c r="B222" s="7" t="s">
        <v>1587</v>
      </c>
      <c r="C222" s="7" t="s">
        <v>1588</v>
      </c>
      <c r="D222" s="7" t="s">
        <v>1610</v>
      </c>
      <c r="E222" s="7" t="s">
        <v>1611</v>
      </c>
      <c r="F222" s="7" t="s">
        <v>1612</v>
      </c>
      <c r="G222" s="7" t="s">
        <v>119</v>
      </c>
      <c r="H222" s="7" t="s">
        <v>1613</v>
      </c>
      <c r="I222" s="7" t="s">
        <v>71</v>
      </c>
      <c r="J222" s="7" t="s">
        <v>73</v>
      </c>
      <c r="K222" s="10" t="s">
        <v>957</v>
      </c>
      <c r="L222" s="7"/>
      <c r="M222" s="7"/>
    </row>
    <row r="223" ht="15.75" customHeight="1">
      <c r="A223" s="8" t="s">
        <v>1614</v>
      </c>
      <c r="B223" s="8" t="s">
        <v>1587</v>
      </c>
      <c r="C223" s="8" t="s">
        <v>1588</v>
      </c>
      <c r="D223" s="8" t="s">
        <v>1615</v>
      </c>
      <c r="E223" s="8" t="s">
        <v>1616</v>
      </c>
      <c r="F223" s="8" t="s">
        <v>1617</v>
      </c>
      <c r="G223" s="8" t="s">
        <v>119</v>
      </c>
      <c r="H223" s="8" t="s">
        <v>1618</v>
      </c>
      <c r="I223" s="8" t="s">
        <v>125</v>
      </c>
      <c r="J223" s="8" t="s">
        <v>167</v>
      </c>
      <c r="K223" s="11" t="s">
        <v>957</v>
      </c>
      <c r="L223" s="8"/>
      <c r="M223" s="8"/>
    </row>
    <row r="224" ht="147.75" customHeight="1">
      <c r="A224" s="7" t="s">
        <v>1619</v>
      </c>
      <c r="B224" s="7" t="s">
        <v>960</v>
      </c>
      <c r="C224" s="7" t="s">
        <v>961</v>
      </c>
      <c r="D224" s="7" t="s">
        <v>1620</v>
      </c>
      <c r="E224" s="7" t="s">
        <v>1621</v>
      </c>
      <c r="F224" s="7" t="s">
        <v>1622</v>
      </c>
      <c r="G224" s="7" t="s">
        <v>119</v>
      </c>
      <c r="H224" s="7" t="s">
        <v>1623</v>
      </c>
      <c r="I224" s="7" t="s">
        <v>125</v>
      </c>
      <c r="J224" s="7" t="s">
        <v>73</v>
      </c>
      <c r="K224" s="11" t="s">
        <v>957</v>
      </c>
      <c r="L224" s="7"/>
      <c r="M224" s="10" t="s">
        <v>1624</v>
      </c>
    </row>
    <row r="225" ht="15.75" customHeight="1">
      <c r="A225" s="7" t="s">
        <v>1625</v>
      </c>
      <c r="B225" s="7" t="s">
        <v>1626</v>
      </c>
      <c r="C225" s="7" t="s">
        <v>961</v>
      </c>
      <c r="D225" s="7" t="s">
        <v>1627</v>
      </c>
      <c r="E225" s="7" t="s">
        <v>1628</v>
      </c>
      <c r="F225" s="7" t="s">
        <v>1629</v>
      </c>
      <c r="G225" s="7" t="s">
        <v>119</v>
      </c>
      <c r="H225" s="7" t="s">
        <v>1630</v>
      </c>
      <c r="I225" s="7" t="s">
        <v>125</v>
      </c>
      <c r="J225" s="7" t="s">
        <v>73</v>
      </c>
      <c r="K225" s="11" t="s">
        <v>87</v>
      </c>
      <c r="L225" s="7"/>
      <c r="M225" s="10" t="s">
        <v>1631</v>
      </c>
    </row>
    <row r="226" ht="15.75" customHeight="1">
      <c r="A226" s="7" t="s">
        <v>1632</v>
      </c>
      <c r="B226" s="7" t="s">
        <v>1626</v>
      </c>
      <c r="C226" s="7" t="s">
        <v>961</v>
      </c>
      <c r="D226" s="7" t="s">
        <v>1633</v>
      </c>
      <c r="E226" s="7" t="s">
        <v>1634</v>
      </c>
      <c r="F226" s="7" t="s">
        <v>1635</v>
      </c>
      <c r="G226" s="7" t="s">
        <v>119</v>
      </c>
      <c r="H226" s="7" t="s">
        <v>1636</v>
      </c>
      <c r="I226" s="7" t="s">
        <v>125</v>
      </c>
      <c r="J226" s="7" t="s">
        <v>73</v>
      </c>
      <c r="K226" s="11" t="s">
        <v>87</v>
      </c>
      <c r="L226" s="7"/>
      <c r="M226" s="7"/>
    </row>
    <row r="227" ht="15.75" customHeight="1">
      <c r="A227" s="7" t="s">
        <v>1637</v>
      </c>
      <c r="B227" s="7" t="s">
        <v>1626</v>
      </c>
      <c r="C227" s="7" t="s">
        <v>961</v>
      </c>
      <c r="D227" s="7" t="s">
        <v>1638</v>
      </c>
      <c r="E227" s="7" t="s">
        <v>1639</v>
      </c>
      <c r="F227" s="7" t="s">
        <v>1640</v>
      </c>
      <c r="G227" s="7" t="s">
        <v>119</v>
      </c>
      <c r="H227" s="7" t="s">
        <v>865</v>
      </c>
      <c r="I227" s="7" t="s">
        <v>165</v>
      </c>
      <c r="J227" s="7" t="s">
        <v>73</v>
      </c>
      <c r="K227" s="11" t="s">
        <v>87</v>
      </c>
      <c r="L227" s="7"/>
      <c r="M227" s="10" t="s">
        <v>1641</v>
      </c>
    </row>
    <row r="228" ht="15.75" customHeight="1">
      <c r="A228" s="7" t="s">
        <v>1642</v>
      </c>
      <c r="B228" s="7" t="s">
        <v>1065</v>
      </c>
      <c r="C228" s="7" t="s">
        <v>1066</v>
      </c>
      <c r="D228" s="7" t="s">
        <v>1643</v>
      </c>
      <c r="E228" s="7" t="s">
        <v>1081</v>
      </c>
      <c r="F228" s="7" t="s">
        <v>1644</v>
      </c>
      <c r="G228" s="7" t="s">
        <v>119</v>
      </c>
      <c r="H228" s="7" t="s">
        <v>865</v>
      </c>
      <c r="I228" s="7" t="s">
        <v>125</v>
      </c>
      <c r="J228" s="7" t="s">
        <v>73</v>
      </c>
      <c r="K228" s="11" t="s">
        <v>87</v>
      </c>
      <c r="L228" s="7"/>
      <c r="M228" s="7"/>
    </row>
    <row r="229" ht="15.75" customHeight="1">
      <c r="A229" s="29" t="s">
        <v>1645</v>
      </c>
      <c r="B229" s="29" t="s">
        <v>1065</v>
      </c>
      <c r="C229" s="29" t="s">
        <v>1066</v>
      </c>
      <c r="D229" s="29" t="s">
        <v>1646</v>
      </c>
      <c r="E229" s="29" t="s">
        <v>1647</v>
      </c>
      <c r="F229" s="29" t="s">
        <v>1648</v>
      </c>
      <c r="G229" s="29" t="s">
        <v>119</v>
      </c>
      <c r="H229" s="29" t="s">
        <v>1649</v>
      </c>
      <c r="I229" s="29" t="s">
        <v>165</v>
      </c>
      <c r="J229" s="29" t="s">
        <v>167</v>
      </c>
      <c r="K229" s="31" t="s">
        <v>168</v>
      </c>
      <c r="L229" s="29"/>
      <c r="M229" s="29"/>
      <c r="N229" s="30"/>
      <c r="O229" s="30"/>
      <c r="P229" s="30"/>
      <c r="Q229" s="30"/>
      <c r="R229" s="30"/>
      <c r="S229" s="30"/>
      <c r="T229" s="30"/>
      <c r="U229" s="30"/>
      <c r="V229" s="30"/>
      <c r="W229" s="30"/>
      <c r="X229" s="30"/>
      <c r="Y229" s="30"/>
      <c r="Z229" s="30"/>
    </row>
    <row r="230" ht="15.75" customHeight="1">
      <c r="A230" s="7" t="s">
        <v>1650</v>
      </c>
      <c r="B230" s="7" t="s">
        <v>1651</v>
      </c>
      <c r="C230" s="7" t="s">
        <v>1652</v>
      </c>
      <c r="D230" s="7" t="s">
        <v>1653</v>
      </c>
      <c r="E230" s="7" t="s">
        <v>1654</v>
      </c>
      <c r="F230" s="7" t="s">
        <v>1655</v>
      </c>
      <c r="G230" s="7" t="s">
        <v>119</v>
      </c>
      <c r="H230" s="7" t="s">
        <v>1656</v>
      </c>
      <c r="I230" s="7" t="s">
        <v>125</v>
      </c>
      <c r="J230" s="7" t="s">
        <v>73</v>
      </c>
      <c r="K230" s="11" t="s">
        <v>1657</v>
      </c>
      <c r="L230" s="7"/>
      <c r="M230" s="10" t="s">
        <v>1658</v>
      </c>
      <c r="N230" s="7" t="s">
        <v>1659</v>
      </c>
    </row>
    <row r="231" ht="15.75" customHeight="1">
      <c r="A231" s="7" t="s">
        <v>1660</v>
      </c>
      <c r="B231" s="7" t="s">
        <v>1651</v>
      </c>
      <c r="C231" s="7" t="s">
        <v>1652</v>
      </c>
      <c r="D231" s="7" t="s">
        <v>1661</v>
      </c>
      <c r="E231" s="7" t="s">
        <v>1662</v>
      </c>
      <c r="F231" s="7" t="s">
        <v>1663</v>
      </c>
      <c r="G231" s="7" t="s">
        <v>119</v>
      </c>
      <c r="H231" s="7" t="s">
        <v>1664</v>
      </c>
      <c r="I231" s="7" t="s">
        <v>125</v>
      </c>
      <c r="J231" s="7" t="s">
        <v>73</v>
      </c>
      <c r="K231" s="11" t="s">
        <v>87</v>
      </c>
      <c r="L231" s="7"/>
      <c r="M231" s="7"/>
    </row>
    <row r="232" ht="15.75" customHeight="1">
      <c r="A232" s="7" t="s">
        <v>1665</v>
      </c>
      <c r="B232" s="7" t="s">
        <v>1651</v>
      </c>
      <c r="C232" s="7" t="s">
        <v>1652</v>
      </c>
      <c r="D232" s="7" t="s">
        <v>1666</v>
      </c>
      <c r="E232" s="7" t="s">
        <v>1667</v>
      </c>
      <c r="F232" s="7" t="s">
        <v>1668</v>
      </c>
      <c r="G232" s="7" t="s">
        <v>119</v>
      </c>
      <c r="H232" s="7" t="s">
        <v>1669</v>
      </c>
      <c r="I232" s="7" t="s">
        <v>125</v>
      </c>
      <c r="J232" s="7" t="s">
        <v>73</v>
      </c>
      <c r="K232" s="11" t="s">
        <v>1657</v>
      </c>
      <c r="L232" s="7"/>
      <c r="M232" s="7"/>
    </row>
    <row r="233" ht="15.75" customHeight="1">
      <c r="A233" s="7" t="s">
        <v>1670</v>
      </c>
      <c r="B233" s="7" t="s">
        <v>1651</v>
      </c>
      <c r="C233" s="7" t="s">
        <v>1652</v>
      </c>
      <c r="D233" s="7" t="s">
        <v>1671</v>
      </c>
      <c r="E233" s="7" t="s">
        <v>1672</v>
      </c>
      <c r="F233" s="7" t="s">
        <v>1673</v>
      </c>
      <c r="G233" s="7" t="s">
        <v>1037</v>
      </c>
      <c r="H233" s="7" t="s">
        <v>1674</v>
      </c>
      <c r="I233" s="7" t="s">
        <v>125</v>
      </c>
      <c r="J233" s="7" t="s">
        <v>73</v>
      </c>
      <c r="K233" s="11" t="s">
        <v>87</v>
      </c>
      <c r="L233" s="7"/>
      <c r="M233" s="7"/>
    </row>
    <row r="234" ht="15.75" customHeight="1">
      <c r="A234" s="29" t="s">
        <v>1675</v>
      </c>
      <c r="B234" s="29" t="s">
        <v>1651</v>
      </c>
      <c r="C234" s="29" t="s">
        <v>1652</v>
      </c>
      <c r="D234" s="29" t="s">
        <v>1676</v>
      </c>
      <c r="E234" s="29" t="s">
        <v>1672</v>
      </c>
      <c r="F234" s="29" t="s">
        <v>1677</v>
      </c>
      <c r="G234" s="29" t="s">
        <v>119</v>
      </c>
      <c r="H234" s="29" t="s">
        <v>1678</v>
      </c>
      <c r="I234" s="29" t="s">
        <v>125</v>
      </c>
      <c r="J234" s="29" t="s">
        <v>73</v>
      </c>
      <c r="K234" s="31" t="s">
        <v>87</v>
      </c>
      <c r="L234" s="29"/>
      <c r="M234" s="29"/>
      <c r="N234" s="30"/>
      <c r="O234" s="30"/>
      <c r="P234" s="30"/>
      <c r="Q234" s="30"/>
      <c r="R234" s="30"/>
      <c r="S234" s="30"/>
      <c r="T234" s="30"/>
      <c r="U234" s="30"/>
      <c r="V234" s="30"/>
      <c r="W234" s="30"/>
      <c r="X234" s="30"/>
      <c r="Y234" s="30"/>
      <c r="Z234" s="30"/>
    </row>
    <row r="235" ht="15.75" customHeight="1">
      <c r="A235" s="29" t="s">
        <v>1679</v>
      </c>
      <c r="B235" s="29" t="s">
        <v>1651</v>
      </c>
      <c r="C235" s="29" t="s">
        <v>1652</v>
      </c>
      <c r="D235" s="31" t="s">
        <v>1680</v>
      </c>
      <c r="E235" s="29" t="s">
        <v>1681</v>
      </c>
      <c r="F235" s="29" t="s">
        <v>1682</v>
      </c>
      <c r="G235" s="29" t="s">
        <v>119</v>
      </c>
      <c r="H235" s="29" t="s">
        <v>1683</v>
      </c>
      <c r="I235" s="29" t="s">
        <v>125</v>
      </c>
      <c r="J235" s="29" t="s">
        <v>73</v>
      </c>
      <c r="K235" s="31" t="s">
        <v>87</v>
      </c>
      <c r="L235" s="29"/>
      <c r="M235" s="29"/>
      <c r="N235" s="30"/>
      <c r="O235" s="30"/>
      <c r="P235" s="30"/>
      <c r="Q235" s="30"/>
      <c r="R235" s="30"/>
      <c r="S235" s="30"/>
      <c r="T235" s="30"/>
      <c r="U235" s="30"/>
      <c r="V235" s="30"/>
      <c r="W235" s="30"/>
      <c r="X235" s="30"/>
      <c r="Y235" s="30"/>
      <c r="Z235" s="30"/>
    </row>
    <row r="236" ht="15.75" customHeight="1">
      <c r="A236" s="29" t="s">
        <v>1684</v>
      </c>
      <c r="B236" s="29" t="s">
        <v>1651</v>
      </c>
      <c r="C236" s="29" t="s">
        <v>1652</v>
      </c>
      <c r="D236" s="29" t="s">
        <v>1685</v>
      </c>
      <c r="E236" s="29" t="s">
        <v>1686</v>
      </c>
      <c r="F236" s="29" t="s">
        <v>1687</v>
      </c>
      <c r="G236" s="29" t="s">
        <v>119</v>
      </c>
      <c r="H236" s="29" t="s">
        <v>1688</v>
      </c>
      <c r="I236" s="29" t="s">
        <v>71</v>
      </c>
      <c r="J236" s="29" t="s">
        <v>73</v>
      </c>
      <c r="K236" s="31" t="s">
        <v>168</v>
      </c>
      <c r="L236" s="29"/>
      <c r="M236" s="29"/>
      <c r="N236" s="30"/>
      <c r="O236" s="30"/>
      <c r="P236" s="30"/>
      <c r="Q236" s="30"/>
      <c r="R236" s="30"/>
      <c r="S236" s="30"/>
      <c r="T236" s="30"/>
      <c r="U236" s="30"/>
      <c r="V236" s="30"/>
      <c r="W236" s="30"/>
      <c r="X236" s="30"/>
      <c r="Y236" s="30"/>
      <c r="Z236" s="30"/>
    </row>
    <row r="237" ht="15.75" customHeight="1">
      <c r="A237" s="29" t="s">
        <v>1689</v>
      </c>
      <c r="B237" s="29" t="s">
        <v>1651</v>
      </c>
      <c r="C237" s="29" t="s">
        <v>1652</v>
      </c>
      <c r="D237" s="29" t="s">
        <v>1690</v>
      </c>
      <c r="E237" s="29" t="s">
        <v>1691</v>
      </c>
      <c r="F237" s="29" t="s">
        <v>1692</v>
      </c>
      <c r="G237" s="29" t="s">
        <v>119</v>
      </c>
      <c r="H237" s="29" t="s">
        <v>1693</v>
      </c>
      <c r="I237" s="29" t="s">
        <v>71</v>
      </c>
      <c r="J237" s="29" t="s">
        <v>73</v>
      </c>
      <c r="K237" s="31" t="s">
        <v>168</v>
      </c>
      <c r="L237" s="29"/>
      <c r="M237" s="29"/>
      <c r="N237" s="30"/>
      <c r="O237" s="30"/>
      <c r="P237" s="30"/>
      <c r="Q237" s="30"/>
      <c r="R237" s="30"/>
      <c r="S237" s="30"/>
      <c r="T237" s="30"/>
      <c r="U237" s="30"/>
      <c r="V237" s="30"/>
      <c r="W237" s="30"/>
      <c r="X237" s="30"/>
      <c r="Y237" s="30"/>
      <c r="Z237" s="30"/>
    </row>
    <row r="238" ht="15.75" customHeight="1">
      <c r="A238" s="7" t="s">
        <v>1694</v>
      </c>
      <c r="B238" s="7" t="s">
        <v>960</v>
      </c>
      <c r="C238" s="7" t="s">
        <v>961</v>
      </c>
      <c r="D238" s="7" t="s">
        <v>1695</v>
      </c>
      <c r="E238" s="7" t="s">
        <v>1696</v>
      </c>
      <c r="F238" s="7" t="s">
        <v>1697</v>
      </c>
      <c r="G238" s="7" t="s">
        <v>119</v>
      </c>
      <c r="H238" s="7" t="s">
        <v>1698</v>
      </c>
      <c r="I238" s="7" t="s">
        <v>125</v>
      </c>
      <c r="J238" s="7" t="s">
        <v>167</v>
      </c>
      <c r="K238" s="11" t="s">
        <v>87</v>
      </c>
      <c r="L238" s="7"/>
      <c r="M238" s="7" t="s">
        <v>1699</v>
      </c>
    </row>
    <row r="239" ht="15.75" customHeight="1">
      <c r="A239" s="7" t="s">
        <v>1700</v>
      </c>
      <c r="B239" s="7" t="s">
        <v>960</v>
      </c>
      <c r="C239" s="7" t="s">
        <v>961</v>
      </c>
      <c r="D239" s="7" t="s">
        <v>1701</v>
      </c>
      <c r="E239" s="7" t="s">
        <v>1702</v>
      </c>
      <c r="F239" s="7" t="s">
        <v>1703</v>
      </c>
      <c r="G239" s="7" t="s">
        <v>119</v>
      </c>
      <c r="H239" s="7" t="s">
        <v>1704</v>
      </c>
      <c r="I239" s="7" t="s">
        <v>165</v>
      </c>
      <c r="J239" s="7" t="s">
        <v>167</v>
      </c>
      <c r="K239" s="11" t="s">
        <v>87</v>
      </c>
      <c r="L239" s="7"/>
      <c r="M239" s="7"/>
    </row>
    <row r="240" ht="15.75" customHeight="1">
      <c r="A240" s="29" t="s">
        <v>1705</v>
      </c>
      <c r="B240" s="29" t="s">
        <v>1126</v>
      </c>
      <c r="C240" s="29" t="s">
        <v>1127</v>
      </c>
      <c r="D240" s="29" t="s">
        <v>1706</v>
      </c>
      <c r="E240" s="29" t="s">
        <v>1707</v>
      </c>
      <c r="F240" s="29" t="s">
        <v>1708</v>
      </c>
      <c r="G240" s="29" t="s">
        <v>119</v>
      </c>
      <c r="H240" s="29" t="s">
        <v>1709</v>
      </c>
      <c r="I240" s="29" t="s">
        <v>165</v>
      </c>
      <c r="J240" s="29" t="s">
        <v>73</v>
      </c>
      <c r="K240" s="31" t="s">
        <v>168</v>
      </c>
      <c r="L240" s="29"/>
      <c r="M240" s="29"/>
      <c r="N240" s="30"/>
      <c r="O240" s="30"/>
      <c r="P240" s="30"/>
      <c r="Q240" s="30"/>
      <c r="R240" s="30"/>
      <c r="S240" s="30"/>
      <c r="T240" s="30"/>
      <c r="U240" s="30"/>
      <c r="V240" s="30"/>
      <c r="W240" s="30"/>
      <c r="X240" s="30"/>
      <c r="Y240" s="30"/>
      <c r="Z240" s="30"/>
    </row>
    <row r="241" ht="15.75" customHeight="1">
      <c r="A241" s="29" t="s">
        <v>1710</v>
      </c>
      <c r="B241" s="29" t="s">
        <v>1126</v>
      </c>
      <c r="C241" s="29" t="s">
        <v>1127</v>
      </c>
      <c r="D241" s="29" t="s">
        <v>1711</v>
      </c>
      <c r="E241" s="29" t="s">
        <v>1712</v>
      </c>
      <c r="F241" s="29" t="s">
        <v>1713</v>
      </c>
      <c r="G241" s="29" t="s">
        <v>119</v>
      </c>
      <c r="H241" s="29" t="s">
        <v>1714</v>
      </c>
      <c r="I241" s="29" t="s">
        <v>71</v>
      </c>
      <c r="J241" s="29" t="s">
        <v>73</v>
      </c>
      <c r="K241" s="31" t="s">
        <v>168</v>
      </c>
      <c r="L241" s="29"/>
      <c r="M241" s="29"/>
      <c r="N241" s="30"/>
      <c r="O241" s="30"/>
      <c r="P241" s="30"/>
      <c r="Q241" s="30"/>
      <c r="R241" s="30"/>
      <c r="S241" s="30"/>
      <c r="T241" s="30"/>
      <c r="U241" s="30"/>
      <c r="V241" s="30"/>
      <c r="W241" s="30"/>
      <c r="X241" s="30"/>
      <c r="Y241" s="30"/>
      <c r="Z241" s="30"/>
    </row>
    <row r="242" ht="15.75" customHeight="1">
      <c r="A242" s="29" t="s">
        <v>1715</v>
      </c>
      <c r="B242" s="29" t="s">
        <v>1126</v>
      </c>
      <c r="C242" s="29" t="s">
        <v>1127</v>
      </c>
      <c r="D242" s="29" t="s">
        <v>1716</v>
      </c>
      <c r="E242" s="29" t="s">
        <v>1206</v>
      </c>
      <c r="F242" s="29" t="s">
        <v>1717</v>
      </c>
      <c r="G242" s="29" t="s">
        <v>119</v>
      </c>
      <c r="H242" s="29" t="s">
        <v>1718</v>
      </c>
      <c r="I242" s="29" t="s">
        <v>71</v>
      </c>
      <c r="J242" s="29" t="s">
        <v>73</v>
      </c>
      <c r="K242" s="31" t="s">
        <v>168</v>
      </c>
      <c r="L242" s="29"/>
      <c r="M242" s="29"/>
      <c r="N242" s="30"/>
      <c r="O242" s="30"/>
      <c r="P242" s="30"/>
      <c r="Q242" s="30"/>
      <c r="R242" s="30"/>
      <c r="S242" s="30"/>
      <c r="T242" s="30"/>
      <c r="U242" s="30"/>
      <c r="V242" s="30"/>
      <c r="W242" s="30"/>
      <c r="X242" s="30"/>
      <c r="Y242" s="30"/>
      <c r="Z242" s="30"/>
    </row>
    <row r="243" ht="15.75" customHeight="1">
      <c r="A243" s="29" t="s">
        <v>1719</v>
      </c>
      <c r="B243" s="29" t="s">
        <v>1126</v>
      </c>
      <c r="C243" s="29" t="s">
        <v>1127</v>
      </c>
      <c r="D243" s="29" t="s">
        <v>1720</v>
      </c>
      <c r="E243" s="29" t="s">
        <v>1721</v>
      </c>
      <c r="F243" s="29" t="s">
        <v>1722</v>
      </c>
      <c r="G243" s="29" t="s">
        <v>119</v>
      </c>
      <c r="H243" s="29" t="s">
        <v>1723</v>
      </c>
      <c r="I243" s="29" t="s">
        <v>71</v>
      </c>
      <c r="J243" s="29" t="s">
        <v>73</v>
      </c>
      <c r="K243" s="31" t="s">
        <v>168</v>
      </c>
      <c r="L243" s="29"/>
      <c r="M243" s="29"/>
      <c r="N243" s="30"/>
      <c r="O243" s="30"/>
      <c r="P243" s="30"/>
      <c r="Q243" s="30"/>
      <c r="R243" s="30"/>
      <c r="S243" s="30"/>
      <c r="T243" s="30"/>
      <c r="U243" s="30"/>
      <c r="V243" s="30"/>
      <c r="W243" s="30"/>
      <c r="X243" s="30"/>
      <c r="Y243" s="30"/>
      <c r="Z243" s="30"/>
    </row>
    <row r="244" ht="15.75" customHeight="1">
      <c r="A244" s="29" t="s">
        <v>1724</v>
      </c>
      <c r="B244" s="29" t="s">
        <v>1126</v>
      </c>
      <c r="C244" s="29" t="s">
        <v>1127</v>
      </c>
      <c r="D244" s="29" t="s">
        <v>1725</v>
      </c>
      <c r="E244" s="29" t="s">
        <v>1726</v>
      </c>
      <c r="F244" s="29" t="s">
        <v>848</v>
      </c>
      <c r="G244" s="29" t="s">
        <v>119</v>
      </c>
      <c r="H244" s="29" t="s">
        <v>1727</v>
      </c>
      <c r="I244" s="29" t="s">
        <v>125</v>
      </c>
      <c r="J244" s="29" t="s">
        <v>73</v>
      </c>
      <c r="K244" s="31" t="s">
        <v>168</v>
      </c>
      <c r="L244" s="29"/>
      <c r="M244" s="29"/>
      <c r="N244" s="30"/>
      <c r="O244" s="30"/>
      <c r="P244" s="30"/>
      <c r="Q244" s="30"/>
      <c r="R244" s="30"/>
      <c r="S244" s="30"/>
      <c r="T244" s="30"/>
      <c r="U244" s="30"/>
      <c r="V244" s="30"/>
      <c r="W244" s="30"/>
      <c r="X244" s="30"/>
      <c r="Y244" s="30"/>
      <c r="Z244" s="30"/>
    </row>
    <row r="245" ht="15.75" customHeight="1">
      <c r="A245" s="7" t="s">
        <v>1728</v>
      </c>
      <c r="B245" s="7" t="s">
        <v>1126</v>
      </c>
      <c r="C245" s="7" t="s">
        <v>1127</v>
      </c>
      <c r="D245" s="7" t="s">
        <v>1729</v>
      </c>
      <c r="E245" s="7" t="s">
        <v>1730</v>
      </c>
      <c r="F245" s="7" t="s">
        <v>1731</v>
      </c>
      <c r="G245" s="7" t="s">
        <v>119</v>
      </c>
      <c r="H245" s="7" t="s">
        <v>1732</v>
      </c>
      <c r="I245" s="7" t="s">
        <v>125</v>
      </c>
      <c r="J245" s="7" t="s">
        <v>73</v>
      </c>
      <c r="K245" s="34" t="s">
        <v>957</v>
      </c>
      <c r="L245" s="7"/>
      <c r="M245" s="10" t="s">
        <v>1733</v>
      </c>
    </row>
    <row r="246" ht="15.75" customHeight="1">
      <c r="A246" s="29" t="s">
        <v>1734</v>
      </c>
      <c r="B246" s="29" t="s">
        <v>1126</v>
      </c>
      <c r="C246" s="29" t="s">
        <v>1127</v>
      </c>
      <c r="D246" s="29" t="s">
        <v>1735</v>
      </c>
      <c r="E246" s="29" t="s">
        <v>1736</v>
      </c>
      <c r="F246" s="29" t="s">
        <v>986</v>
      </c>
      <c r="G246" s="29" t="s">
        <v>119</v>
      </c>
      <c r="H246" s="29" t="s">
        <v>1737</v>
      </c>
      <c r="I246" s="29" t="s">
        <v>125</v>
      </c>
      <c r="J246" s="29" t="s">
        <v>73</v>
      </c>
      <c r="K246" s="31" t="s">
        <v>168</v>
      </c>
      <c r="L246" s="29"/>
      <c r="M246" s="29"/>
      <c r="N246" s="30"/>
      <c r="O246" s="30"/>
      <c r="P246" s="30"/>
      <c r="Q246" s="30"/>
      <c r="R246" s="30"/>
      <c r="S246" s="30"/>
      <c r="T246" s="30"/>
      <c r="U246" s="30"/>
      <c r="V246" s="30"/>
      <c r="W246" s="30"/>
      <c r="X246" s="30"/>
      <c r="Y246" s="30"/>
      <c r="Z246" s="30"/>
    </row>
    <row r="247" ht="15.75" customHeight="1">
      <c r="A247" s="29" t="s">
        <v>1738</v>
      </c>
      <c r="B247" s="29" t="s">
        <v>1126</v>
      </c>
      <c r="C247" s="29" t="s">
        <v>1127</v>
      </c>
      <c r="D247" s="29" t="s">
        <v>1739</v>
      </c>
      <c r="E247" s="29" t="s">
        <v>1740</v>
      </c>
      <c r="F247" s="29" t="s">
        <v>1741</v>
      </c>
      <c r="G247" s="29" t="s">
        <v>119</v>
      </c>
      <c r="H247" s="29" t="s">
        <v>1742</v>
      </c>
      <c r="I247" s="29" t="s">
        <v>165</v>
      </c>
      <c r="J247" s="29" t="s">
        <v>73</v>
      </c>
      <c r="K247" s="31" t="s">
        <v>168</v>
      </c>
      <c r="L247" s="29"/>
      <c r="M247" s="29"/>
      <c r="N247" s="30"/>
      <c r="O247" s="30"/>
      <c r="P247" s="30"/>
      <c r="Q247" s="30"/>
      <c r="R247" s="30"/>
      <c r="S247" s="30"/>
      <c r="T247" s="30"/>
      <c r="U247" s="30"/>
      <c r="V247" s="30"/>
      <c r="W247" s="30"/>
      <c r="X247" s="30"/>
      <c r="Y247" s="30"/>
      <c r="Z247" s="30"/>
    </row>
    <row r="248" ht="15.75" customHeight="1">
      <c r="A248" s="29" t="s">
        <v>1743</v>
      </c>
      <c r="B248" s="29" t="s">
        <v>1126</v>
      </c>
      <c r="C248" s="29" t="s">
        <v>1127</v>
      </c>
      <c r="D248" s="29" t="s">
        <v>1744</v>
      </c>
      <c r="E248" s="29" t="s">
        <v>1745</v>
      </c>
      <c r="F248" s="29" t="s">
        <v>868</v>
      </c>
      <c r="G248" s="29" t="s">
        <v>119</v>
      </c>
      <c r="H248" s="29" t="s">
        <v>1746</v>
      </c>
      <c r="I248" s="29" t="s">
        <v>71</v>
      </c>
      <c r="J248" s="29" t="s">
        <v>73</v>
      </c>
      <c r="K248" s="31" t="s">
        <v>168</v>
      </c>
      <c r="L248" s="29"/>
      <c r="M248" s="29"/>
      <c r="N248" s="30"/>
      <c r="O248" s="30"/>
      <c r="P248" s="30"/>
      <c r="Q248" s="30"/>
      <c r="R248" s="30"/>
      <c r="S248" s="30"/>
      <c r="T248" s="30"/>
      <c r="U248" s="30"/>
      <c r="V248" s="30"/>
      <c r="W248" s="30"/>
      <c r="X248" s="30"/>
      <c r="Y248" s="30"/>
      <c r="Z248" s="30"/>
    </row>
    <row r="249" ht="15.75" customHeight="1">
      <c r="A249" s="29" t="s">
        <v>1747</v>
      </c>
      <c r="B249" s="29" t="s">
        <v>1126</v>
      </c>
      <c r="C249" s="29" t="s">
        <v>1127</v>
      </c>
      <c r="D249" s="29" t="s">
        <v>1748</v>
      </c>
      <c r="E249" s="29" t="s">
        <v>1749</v>
      </c>
      <c r="F249" s="29" t="s">
        <v>603</v>
      </c>
      <c r="G249" s="29" t="s">
        <v>119</v>
      </c>
      <c r="H249" s="29" t="s">
        <v>1750</v>
      </c>
      <c r="I249" s="29" t="s">
        <v>165</v>
      </c>
      <c r="J249" s="29" t="s">
        <v>167</v>
      </c>
      <c r="K249" s="31" t="s">
        <v>168</v>
      </c>
      <c r="L249" s="29"/>
      <c r="M249" s="29"/>
      <c r="N249" s="30"/>
      <c r="O249" s="30"/>
      <c r="P249" s="30"/>
      <c r="Q249" s="30"/>
      <c r="R249" s="30"/>
      <c r="S249" s="30"/>
      <c r="T249" s="30"/>
      <c r="U249" s="30"/>
      <c r="V249" s="30"/>
      <c r="W249" s="30"/>
      <c r="X249" s="30"/>
      <c r="Y249" s="30"/>
      <c r="Z249" s="30"/>
    </row>
    <row r="250" ht="15.75" customHeight="1">
      <c r="A250" s="29" t="s">
        <v>1751</v>
      </c>
      <c r="B250" s="29" t="s">
        <v>1126</v>
      </c>
      <c r="C250" s="29" t="s">
        <v>1127</v>
      </c>
      <c r="D250" s="29" t="s">
        <v>1752</v>
      </c>
      <c r="E250" s="29" t="s">
        <v>1753</v>
      </c>
      <c r="F250" s="29" t="s">
        <v>1754</v>
      </c>
      <c r="G250" s="29" t="s">
        <v>119</v>
      </c>
      <c r="H250" s="29" t="s">
        <v>1755</v>
      </c>
      <c r="I250" s="29" t="s">
        <v>71</v>
      </c>
      <c r="J250" s="29" t="s">
        <v>73</v>
      </c>
      <c r="K250" s="31" t="s">
        <v>168</v>
      </c>
      <c r="L250" s="29"/>
      <c r="M250" s="29"/>
      <c r="N250" s="30"/>
      <c r="O250" s="30"/>
      <c r="P250" s="30"/>
      <c r="Q250" s="30"/>
      <c r="R250" s="30"/>
      <c r="S250" s="30"/>
      <c r="T250" s="30"/>
      <c r="U250" s="30"/>
      <c r="V250" s="30"/>
      <c r="W250" s="30"/>
      <c r="X250" s="30"/>
      <c r="Y250" s="30"/>
      <c r="Z250" s="30"/>
    </row>
    <row r="251" ht="15.75" customHeight="1">
      <c r="A251" s="29" t="s">
        <v>1756</v>
      </c>
      <c r="B251" s="29" t="s">
        <v>1126</v>
      </c>
      <c r="C251" s="29" t="s">
        <v>1127</v>
      </c>
      <c r="D251" s="29" t="s">
        <v>1757</v>
      </c>
      <c r="E251" s="29" t="s">
        <v>1758</v>
      </c>
      <c r="F251" s="29" t="s">
        <v>1759</v>
      </c>
      <c r="G251" s="29" t="s">
        <v>119</v>
      </c>
      <c r="H251" s="29" t="s">
        <v>1760</v>
      </c>
      <c r="I251" s="29" t="s">
        <v>71</v>
      </c>
      <c r="J251" s="29" t="s">
        <v>73</v>
      </c>
      <c r="K251" s="31" t="s">
        <v>168</v>
      </c>
      <c r="L251" s="29"/>
      <c r="M251" s="29"/>
      <c r="N251" s="30"/>
      <c r="O251" s="30"/>
      <c r="P251" s="30"/>
      <c r="Q251" s="30"/>
      <c r="R251" s="30"/>
      <c r="S251" s="30"/>
      <c r="T251" s="30"/>
      <c r="U251" s="30"/>
      <c r="V251" s="30"/>
      <c r="W251" s="30"/>
      <c r="X251" s="30"/>
      <c r="Y251" s="30"/>
      <c r="Z251" s="30"/>
    </row>
    <row r="252" ht="15.75" customHeight="1">
      <c r="A252" s="29" t="s">
        <v>1761</v>
      </c>
      <c r="B252" s="29" t="s">
        <v>1126</v>
      </c>
      <c r="C252" s="29" t="s">
        <v>1127</v>
      </c>
      <c r="D252" s="29" t="s">
        <v>1762</v>
      </c>
      <c r="E252" s="29" t="s">
        <v>1763</v>
      </c>
      <c r="F252" s="29" t="s">
        <v>1764</v>
      </c>
      <c r="G252" s="29" t="s">
        <v>119</v>
      </c>
      <c r="H252" s="29" t="s">
        <v>1765</v>
      </c>
      <c r="I252" s="29" t="s">
        <v>71</v>
      </c>
      <c r="J252" s="29" t="s">
        <v>73</v>
      </c>
      <c r="K252" s="31" t="s">
        <v>168</v>
      </c>
      <c r="L252" s="29"/>
      <c r="M252" s="29"/>
      <c r="N252" s="30"/>
      <c r="O252" s="30"/>
      <c r="P252" s="30"/>
      <c r="Q252" s="30"/>
      <c r="R252" s="30"/>
      <c r="S252" s="30"/>
      <c r="T252" s="30"/>
      <c r="U252" s="30"/>
      <c r="V252" s="30"/>
      <c r="W252" s="30"/>
      <c r="X252" s="30"/>
      <c r="Y252" s="30"/>
      <c r="Z252" s="30"/>
    </row>
    <row r="253" ht="15.75" customHeight="1">
      <c r="A253" s="29" t="s">
        <v>1766</v>
      </c>
      <c r="B253" s="29" t="s">
        <v>1126</v>
      </c>
      <c r="C253" s="29" t="s">
        <v>1127</v>
      </c>
      <c r="D253" s="29" t="s">
        <v>1767</v>
      </c>
      <c r="E253" s="29" t="s">
        <v>1336</v>
      </c>
      <c r="F253" s="29" t="s">
        <v>1768</v>
      </c>
      <c r="G253" s="29" t="s">
        <v>119</v>
      </c>
      <c r="H253" s="29" t="s">
        <v>1769</v>
      </c>
      <c r="I253" s="29" t="s">
        <v>344</v>
      </c>
      <c r="J253" s="29" t="s">
        <v>73</v>
      </c>
      <c r="K253" s="31" t="s">
        <v>168</v>
      </c>
      <c r="L253" s="29"/>
      <c r="M253" s="29"/>
      <c r="N253" s="30"/>
      <c r="O253" s="30"/>
      <c r="P253" s="30"/>
      <c r="Q253" s="30"/>
      <c r="R253" s="30"/>
      <c r="S253" s="30"/>
      <c r="T253" s="30"/>
      <c r="U253" s="30"/>
      <c r="V253" s="30"/>
      <c r="W253" s="30"/>
      <c r="X253" s="30"/>
      <c r="Y253" s="30"/>
      <c r="Z253" s="30"/>
    </row>
    <row r="254" ht="15.75" customHeight="1">
      <c r="A254" s="29" t="s">
        <v>1770</v>
      </c>
      <c r="B254" s="29" t="s">
        <v>1126</v>
      </c>
      <c r="C254" s="29" t="s">
        <v>1127</v>
      </c>
      <c r="D254" s="29" t="s">
        <v>1771</v>
      </c>
      <c r="E254" s="29" t="s">
        <v>1772</v>
      </c>
      <c r="F254" s="29" t="s">
        <v>1173</v>
      </c>
      <c r="G254" s="29" t="s">
        <v>119</v>
      </c>
      <c r="H254" s="29" t="s">
        <v>1773</v>
      </c>
      <c r="I254" s="29" t="s">
        <v>71</v>
      </c>
      <c r="J254" s="29" t="s">
        <v>73</v>
      </c>
      <c r="K254" s="31" t="s">
        <v>168</v>
      </c>
      <c r="L254" s="29"/>
      <c r="M254" s="29"/>
      <c r="N254" s="30"/>
      <c r="O254" s="30"/>
      <c r="P254" s="30"/>
      <c r="Q254" s="30"/>
      <c r="R254" s="30"/>
      <c r="S254" s="30"/>
      <c r="T254" s="30"/>
      <c r="U254" s="30"/>
      <c r="V254" s="30"/>
      <c r="W254" s="30"/>
      <c r="X254" s="30"/>
      <c r="Y254" s="30"/>
      <c r="Z254" s="30"/>
    </row>
    <row r="255" ht="15.75" customHeight="1">
      <c r="A255" s="29" t="s">
        <v>1774</v>
      </c>
      <c r="B255" s="29" t="s">
        <v>1126</v>
      </c>
      <c r="C255" s="29" t="s">
        <v>1127</v>
      </c>
      <c r="D255" s="29" t="s">
        <v>1775</v>
      </c>
      <c r="E255" s="29" t="s">
        <v>1776</v>
      </c>
      <c r="F255" s="29" t="s">
        <v>1777</v>
      </c>
      <c r="G255" s="29" t="s">
        <v>119</v>
      </c>
      <c r="H255" s="29" t="s">
        <v>1778</v>
      </c>
      <c r="I255" s="29" t="s">
        <v>125</v>
      </c>
      <c r="J255" s="29" t="s">
        <v>73</v>
      </c>
      <c r="K255" s="31" t="s">
        <v>168</v>
      </c>
      <c r="L255" s="29"/>
      <c r="M255" s="29"/>
      <c r="N255" s="30"/>
      <c r="O255" s="30"/>
      <c r="P255" s="30"/>
      <c r="Q255" s="30"/>
      <c r="R255" s="30"/>
      <c r="S255" s="30"/>
      <c r="T255" s="30"/>
      <c r="U255" s="30"/>
      <c r="V255" s="30"/>
      <c r="W255" s="30"/>
      <c r="X255" s="30"/>
      <c r="Y255" s="30"/>
      <c r="Z255" s="30"/>
    </row>
    <row r="256" ht="15.75" customHeight="1">
      <c r="A256" s="7" t="s">
        <v>1779</v>
      </c>
      <c r="B256" s="7" t="s">
        <v>1126</v>
      </c>
      <c r="C256" s="7" t="s">
        <v>1127</v>
      </c>
      <c r="D256" s="7" t="s">
        <v>1780</v>
      </c>
      <c r="E256" s="7" t="s">
        <v>1781</v>
      </c>
      <c r="F256" s="7" t="s">
        <v>1782</v>
      </c>
      <c r="G256" s="7" t="s">
        <v>119</v>
      </c>
      <c r="H256" s="7" t="s">
        <v>1783</v>
      </c>
      <c r="I256" s="7" t="s">
        <v>71</v>
      </c>
      <c r="J256" s="7" t="s">
        <v>73</v>
      </c>
      <c r="K256" s="34" t="s">
        <v>87</v>
      </c>
      <c r="L256" s="7"/>
      <c r="M256" s="7"/>
    </row>
    <row r="257" ht="15.75" customHeight="1">
      <c r="A257" s="7" t="s">
        <v>1784</v>
      </c>
      <c r="B257" s="7" t="s">
        <v>1126</v>
      </c>
      <c r="C257" s="7" t="s">
        <v>1127</v>
      </c>
      <c r="D257" s="7" t="s">
        <v>1785</v>
      </c>
      <c r="E257" s="7" t="s">
        <v>1786</v>
      </c>
      <c r="F257" s="7" t="s">
        <v>1787</v>
      </c>
      <c r="G257" s="7" t="s">
        <v>119</v>
      </c>
      <c r="H257" s="7" t="s">
        <v>1788</v>
      </c>
      <c r="I257" s="7" t="s">
        <v>165</v>
      </c>
      <c r="J257" s="7" t="s">
        <v>73</v>
      </c>
      <c r="K257" s="34" t="s">
        <v>87</v>
      </c>
      <c r="L257" s="7"/>
      <c r="M257" s="7"/>
    </row>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257"/>
  <dataValidations>
    <dataValidation type="list" allowBlank="1" sqref="K2:K257">
      <formula1>"Pendiente,Aprobado,Fallido,No aplica,Bloqueado"</formula1>
    </dataValidation>
  </dataValidation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9.0"/>
    <col customWidth="1" min="2" max="2" width="11.0"/>
    <col customWidth="1" min="3" max="3" width="20.0"/>
    <col customWidth="1" min="4" max="4" width="34.0"/>
    <col customWidth="1" min="5" max="5" width="28.0"/>
    <col customWidth="1" min="6" max="6" width="44.0"/>
    <col customWidth="1" min="7" max="7" width="20.0"/>
    <col customWidth="1" min="8" max="8" width="44.0"/>
    <col customWidth="1" min="9" max="9" width="15.0"/>
    <col customWidth="1" min="10" max="11" width="13.0"/>
    <col customWidth="1" min="12" max="12" width="22.0"/>
    <col customWidth="1" min="13" max="13" width="28.0"/>
  </cols>
  <sheetData>
    <row r="1">
      <c r="A1" s="6" t="s">
        <v>7</v>
      </c>
      <c r="B1" s="6" t="s">
        <v>21</v>
      </c>
      <c r="C1" s="6" t="s">
        <v>23</v>
      </c>
      <c r="D1" s="6" t="s">
        <v>25</v>
      </c>
      <c r="E1" s="6" t="s">
        <v>28</v>
      </c>
      <c r="F1" s="6" t="s">
        <v>31</v>
      </c>
      <c r="G1" s="6" t="s">
        <v>33</v>
      </c>
      <c r="H1" s="6" t="s">
        <v>35</v>
      </c>
      <c r="I1" s="6" t="s">
        <v>38</v>
      </c>
      <c r="J1" s="6" t="s">
        <v>40</v>
      </c>
      <c r="K1" s="6" t="s">
        <v>45</v>
      </c>
      <c r="L1" s="6" t="s">
        <v>48</v>
      </c>
      <c r="M1" s="6" t="s">
        <v>49</v>
      </c>
    </row>
    <row r="2">
      <c r="A2" s="7" t="s">
        <v>180</v>
      </c>
      <c r="B2" s="7" t="s">
        <v>181</v>
      </c>
      <c r="C2" s="7" t="s">
        <v>183</v>
      </c>
      <c r="D2" s="7" t="s">
        <v>184</v>
      </c>
      <c r="E2" s="7" t="s">
        <v>186</v>
      </c>
      <c r="F2" s="7" t="s">
        <v>187</v>
      </c>
      <c r="G2" s="7" t="s">
        <v>119</v>
      </c>
      <c r="H2" s="7" t="s">
        <v>191</v>
      </c>
      <c r="I2" s="7" t="s">
        <v>71</v>
      </c>
      <c r="J2" s="7" t="s">
        <v>167</v>
      </c>
      <c r="K2" s="7" t="s">
        <v>168</v>
      </c>
      <c r="L2" s="7"/>
      <c r="M2" s="7"/>
    </row>
    <row r="3">
      <c r="A3" s="8" t="s">
        <v>195</v>
      </c>
      <c r="B3" s="8" t="s">
        <v>181</v>
      </c>
      <c r="C3" s="8" t="s">
        <v>183</v>
      </c>
      <c r="D3" s="8" t="s">
        <v>197</v>
      </c>
      <c r="E3" s="8" t="s">
        <v>199</v>
      </c>
      <c r="F3" s="8" t="s">
        <v>201</v>
      </c>
      <c r="G3" s="8" t="s">
        <v>119</v>
      </c>
      <c r="H3" s="8" t="s">
        <v>202</v>
      </c>
      <c r="I3" s="8" t="s">
        <v>71</v>
      </c>
      <c r="J3" s="8" t="s">
        <v>167</v>
      </c>
      <c r="K3" s="8" t="s">
        <v>168</v>
      </c>
      <c r="L3" s="8"/>
      <c r="M3" s="8"/>
    </row>
    <row r="4">
      <c r="A4" s="7" t="s">
        <v>206</v>
      </c>
      <c r="B4" s="7" t="s">
        <v>181</v>
      </c>
      <c r="C4" s="7" t="s">
        <v>183</v>
      </c>
      <c r="D4" s="7" t="s">
        <v>207</v>
      </c>
      <c r="E4" s="7" t="s">
        <v>208</v>
      </c>
      <c r="F4" s="7" t="s">
        <v>209</v>
      </c>
      <c r="G4" s="7" t="s">
        <v>210</v>
      </c>
      <c r="H4" s="7" t="s">
        <v>211</v>
      </c>
      <c r="I4" s="7" t="s">
        <v>125</v>
      </c>
      <c r="J4" s="7" t="s">
        <v>167</v>
      </c>
      <c r="K4" s="7" t="s">
        <v>168</v>
      </c>
      <c r="L4" s="7"/>
      <c r="M4" s="7"/>
    </row>
    <row r="5">
      <c r="A5" s="8" t="s">
        <v>213</v>
      </c>
      <c r="B5" s="8" t="s">
        <v>181</v>
      </c>
      <c r="C5" s="8" t="s">
        <v>214</v>
      </c>
      <c r="D5" s="8" t="s">
        <v>216</v>
      </c>
      <c r="E5" s="8" t="s">
        <v>217</v>
      </c>
      <c r="F5" s="8" t="s">
        <v>219</v>
      </c>
      <c r="G5" s="8" t="s">
        <v>220</v>
      </c>
      <c r="H5" s="8" t="s">
        <v>221</v>
      </c>
      <c r="I5" s="8" t="s">
        <v>165</v>
      </c>
      <c r="J5" s="8" t="s">
        <v>167</v>
      </c>
      <c r="K5" s="8" t="s">
        <v>168</v>
      </c>
      <c r="L5" s="8"/>
      <c r="M5" s="8"/>
    </row>
    <row r="6">
      <c r="A6" s="7" t="s">
        <v>224</v>
      </c>
      <c r="B6" s="7" t="s">
        <v>181</v>
      </c>
      <c r="C6" s="7" t="s">
        <v>214</v>
      </c>
      <c r="D6" s="7" t="s">
        <v>225</v>
      </c>
      <c r="E6" s="7" t="s">
        <v>217</v>
      </c>
      <c r="F6" s="7" t="s">
        <v>226</v>
      </c>
      <c r="G6" s="7" t="s">
        <v>227</v>
      </c>
      <c r="H6" s="7" t="s">
        <v>228</v>
      </c>
      <c r="I6" s="7" t="s">
        <v>165</v>
      </c>
      <c r="J6" s="7" t="s">
        <v>167</v>
      </c>
      <c r="K6" s="7" t="s">
        <v>168</v>
      </c>
      <c r="L6" s="7"/>
      <c r="M6" s="7"/>
    </row>
    <row r="7">
      <c r="A7" s="8" t="s">
        <v>230</v>
      </c>
      <c r="B7" s="8" t="s">
        <v>181</v>
      </c>
      <c r="C7" s="8" t="s">
        <v>214</v>
      </c>
      <c r="D7" s="8" t="s">
        <v>231</v>
      </c>
      <c r="E7" s="8" t="s">
        <v>232</v>
      </c>
      <c r="F7" s="8" t="s">
        <v>234</v>
      </c>
      <c r="G7" s="8" t="s">
        <v>119</v>
      </c>
      <c r="H7" s="8" t="s">
        <v>237</v>
      </c>
      <c r="I7" s="8" t="s">
        <v>125</v>
      </c>
      <c r="J7" s="8" t="s">
        <v>167</v>
      </c>
      <c r="K7" s="8" t="s">
        <v>168</v>
      </c>
      <c r="L7" s="8"/>
      <c r="M7" s="8"/>
    </row>
    <row r="8">
      <c r="A8" s="7" t="s">
        <v>240</v>
      </c>
      <c r="B8" s="7" t="s">
        <v>181</v>
      </c>
      <c r="C8" s="7" t="s">
        <v>214</v>
      </c>
      <c r="D8" s="7" t="s">
        <v>241</v>
      </c>
      <c r="E8" s="7" t="s">
        <v>242</v>
      </c>
      <c r="F8" s="7" t="s">
        <v>243</v>
      </c>
      <c r="G8" s="7" t="s">
        <v>119</v>
      </c>
      <c r="H8" s="7" t="s">
        <v>244</v>
      </c>
      <c r="I8" s="7" t="s">
        <v>125</v>
      </c>
      <c r="J8" s="7" t="s">
        <v>167</v>
      </c>
      <c r="K8" s="7" t="s">
        <v>168</v>
      </c>
      <c r="L8" s="7"/>
      <c r="M8" s="7"/>
    </row>
    <row r="9">
      <c r="A9" s="8" t="s">
        <v>246</v>
      </c>
      <c r="B9" s="8" t="s">
        <v>181</v>
      </c>
      <c r="C9" s="8" t="s">
        <v>214</v>
      </c>
      <c r="D9" s="8" t="s">
        <v>247</v>
      </c>
      <c r="E9" s="8" t="s">
        <v>248</v>
      </c>
      <c r="F9" s="8" t="s">
        <v>250</v>
      </c>
      <c r="G9" s="8" t="s">
        <v>119</v>
      </c>
      <c r="H9" s="8" t="s">
        <v>252</v>
      </c>
      <c r="I9" s="8" t="s">
        <v>71</v>
      </c>
      <c r="J9" s="8" t="s">
        <v>167</v>
      </c>
      <c r="K9" s="8" t="s">
        <v>168</v>
      </c>
      <c r="L9" s="8"/>
      <c r="M9" s="8"/>
    </row>
    <row r="10">
      <c r="A10" s="7" t="s">
        <v>257</v>
      </c>
      <c r="B10" s="7" t="s">
        <v>181</v>
      </c>
      <c r="C10" s="7" t="s">
        <v>214</v>
      </c>
      <c r="D10" s="7" t="s">
        <v>259</v>
      </c>
      <c r="E10" s="7" t="s">
        <v>248</v>
      </c>
      <c r="F10" s="7" t="s">
        <v>261</v>
      </c>
      <c r="G10" s="7" t="s">
        <v>119</v>
      </c>
      <c r="H10" s="7" t="s">
        <v>262</v>
      </c>
      <c r="I10" s="7" t="s">
        <v>125</v>
      </c>
      <c r="J10" s="7" t="s">
        <v>167</v>
      </c>
      <c r="K10" s="7" t="s">
        <v>168</v>
      </c>
      <c r="L10" s="7"/>
      <c r="M10" s="7"/>
    </row>
    <row r="11">
      <c r="A11" s="8" t="s">
        <v>266</v>
      </c>
      <c r="B11" s="8" t="s">
        <v>181</v>
      </c>
      <c r="C11" s="8" t="s">
        <v>214</v>
      </c>
      <c r="D11" s="8" t="s">
        <v>271</v>
      </c>
      <c r="E11" s="8" t="s">
        <v>119</v>
      </c>
      <c r="F11" s="8" t="s">
        <v>274</v>
      </c>
      <c r="G11" s="8" t="s">
        <v>119</v>
      </c>
      <c r="H11" s="8" t="s">
        <v>276</v>
      </c>
      <c r="I11" s="8" t="s">
        <v>125</v>
      </c>
      <c r="J11" s="8" t="s">
        <v>167</v>
      </c>
      <c r="K11" s="8" t="s">
        <v>168</v>
      </c>
      <c r="L11" s="8"/>
      <c r="M11" s="8"/>
    </row>
    <row r="12">
      <c r="A12" s="7" t="s">
        <v>278</v>
      </c>
      <c r="B12" s="7" t="s">
        <v>181</v>
      </c>
      <c r="C12" s="7" t="s">
        <v>214</v>
      </c>
      <c r="D12" s="7" t="s">
        <v>279</v>
      </c>
      <c r="E12" s="7" t="s">
        <v>281</v>
      </c>
      <c r="F12" s="7" t="s">
        <v>282</v>
      </c>
      <c r="G12" s="7" t="s">
        <v>119</v>
      </c>
      <c r="H12" s="7" t="s">
        <v>283</v>
      </c>
      <c r="I12" s="7" t="s">
        <v>71</v>
      </c>
      <c r="J12" s="7" t="s">
        <v>167</v>
      </c>
      <c r="K12" s="7" t="s">
        <v>168</v>
      </c>
      <c r="L12" s="7"/>
      <c r="M12" s="7"/>
    </row>
    <row r="13">
      <c r="A13" s="8" t="s">
        <v>285</v>
      </c>
      <c r="B13" s="8" t="s">
        <v>181</v>
      </c>
      <c r="C13" s="8" t="s">
        <v>287</v>
      </c>
      <c r="D13" s="8" t="s">
        <v>289</v>
      </c>
      <c r="E13" s="8" t="s">
        <v>290</v>
      </c>
      <c r="F13" s="8" t="s">
        <v>292</v>
      </c>
      <c r="G13" s="8" t="s">
        <v>119</v>
      </c>
      <c r="H13" s="8" t="s">
        <v>293</v>
      </c>
      <c r="I13" s="8" t="s">
        <v>71</v>
      </c>
      <c r="J13" s="8" t="s">
        <v>167</v>
      </c>
      <c r="K13" s="8" t="s">
        <v>168</v>
      </c>
      <c r="L13" s="8"/>
      <c r="M13" s="8"/>
    </row>
    <row r="14">
      <c r="A14" s="7" t="s">
        <v>295</v>
      </c>
      <c r="B14" s="7" t="s">
        <v>181</v>
      </c>
      <c r="C14" s="7" t="s">
        <v>287</v>
      </c>
      <c r="D14" s="7" t="s">
        <v>296</v>
      </c>
      <c r="E14" s="7" t="s">
        <v>298</v>
      </c>
      <c r="F14" s="7" t="s">
        <v>300</v>
      </c>
      <c r="G14" s="7" t="s">
        <v>119</v>
      </c>
      <c r="H14" s="7" t="s">
        <v>301</v>
      </c>
      <c r="I14" s="7" t="s">
        <v>125</v>
      </c>
      <c r="J14" s="7" t="s">
        <v>73</v>
      </c>
      <c r="K14" s="7" t="s">
        <v>168</v>
      </c>
      <c r="L14" s="7"/>
      <c r="M14" s="7"/>
    </row>
    <row r="15">
      <c r="A15" s="8" t="s">
        <v>303</v>
      </c>
      <c r="B15" s="8" t="s">
        <v>181</v>
      </c>
      <c r="C15" s="8" t="s">
        <v>287</v>
      </c>
      <c r="D15" s="8" t="s">
        <v>305</v>
      </c>
      <c r="E15" s="8" t="s">
        <v>307</v>
      </c>
      <c r="F15" s="8" t="s">
        <v>308</v>
      </c>
      <c r="G15" s="8" t="s">
        <v>119</v>
      </c>
      <c r="H15" s="8" t="s">
        <v>311</v>
      </c>
      <c r="I15" s="8" t="s">
        <v>71</v>
      </c>
      <c r="J15" s="8" t="s">
        <v>73</v>
      </c>
      <c r="K15" s="8" t="s">
        <v>168</v>
      </c>
      <c r="L15" s="8"/>
      <c r="M15" s="8"/>
    </row>
    <row r="16">
      <c r="A16" s="7" t="s">
        <v>314</v>
      </c>
      <c r="B16" s="7" t="s">
        <v>315</v>
      </c>
      <c r="C16" s="7" t="s">
        <v>316</v>
      </c>
      <c r="D16" s="7" t="s">
        <v>317</v>
      </c>
      <c r="E16" s="7" t="s">
        <v>119</v>
      </c>
      <c r="F16" s="7" t="s">
        <v>319</v>
      </c>
      <c r="G16" s="7" t="s">
        <v>119</v>
      </c>
      <c r="H16" s="7" t="s">
        <v>322</v>
      </c>
      <c r="I16" s="7" t="s">
        <v>165</v>
      </c>
      <c r="J16" s="7" t="s">
        <v>167</v>
      </c>
      <c r="K16" s="7" t="s">
        <v>168</v>
      </c>
      <c r="L16" s="7"/>
      <c r="M16" s="7"/>
    </row>
    <row r="17">
      <c r="A17" s="8" t="s">
        <v>324</v>
      </c>
      <c r="B17" s="8" t="s">
        <v>315</v>
      </c>
      <c r="C17" s="8" t="s">
        <v>316</v>
      </c>
      <c r="D17" s="8" t="s">
        <v>327</v>
      </c>
      <c r="E17" s="8" t="s">
        <v>328</v>
      </c>
      <c r="F17" s="8" t="s">
        <v>330</v>
      </c>
      <c r="G17" s="8" t="s">
        <v>119</v>
      </c>
      <c r="H17" s="8" t="s">
        <v>333</v>
      </c>
      <c r="I17" s="8" t="s">
        <v>165</v>
      </c>
      <c r="J17" s="8" t="s">
        <v>167</v>
      </c>
      <c r="K17" s="8" t="s">
        <v>168</v>
      </c>
      <c r="L17" s="8"/>
      <c r="M17" s="8"/>
    </row>
    <row r="18">
      <c r="A18" s="7" t="s">
        <v>335</v>
      </c>
      <c r="B18" s="7" t="s">
        <v>315</v>
      </c>
      <c r="C18" s="7" t="s">
        <v>316</v>
      </c>
      <c r="D18" s="7" t="s">
        <v>339</v>
      </c>
      <c r="E18" s="7" t="s">
        <v>341</v>
      </c>
      <c r="F18" s="7" t="s">
        <v>343</v>
      </c>
      <c r="G18" s="7" t="s">
        <v>119</v>
      </c>
      <c r="H18" s="7" t="s">
        <v>347</v>
      </c>
      <c r="I18" s="7" t="s">
        <v>165</v>
      </c>
      <c r="J18" s="7" t="s">
        <v>167</v>
      </c>
      <c r="K18" s="7" t="s">
        <v>168</v>
      </c>
      <c r="L18" s="7"/>
      <c r="M18" s="7"/>
    </row>
    <row r="19">
      <c r="A19" s="8" t="s">
        <v>350</v>
      </c>
      <c r="B19" s="8" t="s">
        <v>315</v>
      </c>
      <c r="C19" s="8" t="s">
        <v>316</v>
      </c>
      <c r="D19" s="8" t="s">
        <v>352</v>
      </c>
      <c r="E19" s="8" t="s">
        <v>354</v>
      </c>
      <c r="F19" s="8" t="s">
        <v>355</v>
      </c>
      <c r="G19" s="8" t="s">
        <v>119</v>
      </c>
      <c r="H19" s="8" t="s">
        <v>359</v>
      </c>
      <c r="I19" s="8" t="s">
        <v>165</v>
      </c>
      <c r="J19" s="8" t="s">
        <v>167</v>
      </c>
      <c r="K19" s="8" t="s">
        <v>168</v>
      </c>
      <c r="L19" s="8"/>
      <c r="M19" s="8"/>
    </row>
    <row r="20">
      <c r="A20" s="7" t="s">
        <v>362</v>
      </c>
      <c r="B20" s="7" t="s">
        <v>315</v>
      </c>
      <c r="C20" s="7" t="s">
        <v>363</v>
      </c>
      <c r="D20" s="7" t="s">
        <v>366</v>
      </c>
      <c r="E20" s="7" t="s">
        <v>119</v>
      </c>
      <c r="F20" s="7" t="s">
        <v>368</v>
      </c>
      <c r="G20" s="7" t="s">
        <v>369</v>
      </c>
      <c r="H20" s="7" t="s">
        <v>372</v>
      </c>
      <c r="I20" s="7" t="s">
        <v>125</v>
      </c>
      <c r="J20" s="7" t="s">
        <v>167</v>
      </c>
      <c r="K20" s="7" t="s">
        <v>168</v>
      </c>
      <c r="L20" s="7"/>
      <c r="M20" s="7"/>
    </row>
    <row r="21" ht="15.75" customHeight="1">
      <c r="A21" s="8" t="s">
        <v>376</v>
      </c>
      <c r="B21" s="8" t="s">
        <v>315</v>
      </c>
      <c r="C21" s="8" t="s">
        <v>363</v>
      </c>
      <c r="D21" s="8" t="s">
        <v>377</v>
      </c>
      <c r="E21" s="8" t="s">
        <v>119</v>
      </c>
      <c r="F21" s="8" t="s">
        <v>378</v>
      </c>
      <c r="G21" s="8" t="s">
        <v>119</v>
      </c>
      <c r="H21" s="8" t="s">
        <v>372</v>
      </c>
      <c r="I21" s="8" t="s">
        <v>125</v>
      </c>
      <c r="J21" s="8" t="s">
        <v>167</v>
      </c>
      <c r="K21" s="8" t="s">
        <v>168</v>
      </c>
      <c r="L21" s="8"/>
      <c r="M21" s="8"/>
    </row>
    <row r="22" ht="15.75" customHeight="1">
      <c r="A22" s="7" t="s">
        <v>381</v>
      </c>
      <c r="B22" s="7" t="s">
        <v>315</v>
      </c>
      <c r="C22" s="7" t="s">
        <v>363</v>
      </c>
      <c r="D22" s="7" t="s">
        <v>384</v>
      </c>
      <c r="E22" s="7" t="s">
        <v>386</v>
      </c>
      <c r="F22" s="7" t="s">
        <v>387</v>
      </c>
      <c r="G22" s="7" t="s">
        <v>119</v>
      </c>
      <c r="H22" s="7" t="s">
        <v>389</v>
      </c>
      <c r="I22" s="7" t="s">
        <v>165</v>
      </c>
      <c r="J22" s="7" t="s">
        <v>167</v>
      </c>
      <c r="K22" s="7" t="s">
        <v>168</v>
      </c>
      <c r="L22" s="7"/>
      <c r="M22" s="7"/>
    </row>
    <row r="23" ht="15.75" customHeight="1">
      <c r="A23" s="8" t="s">
        <v>391</v>
      </c>
      <c r="B23" s="8" t="s">
        <v>315</v>
      </c>
      <c r="C23" s="8" t="s">
        <v>363</v>
      </c>
      <c r="D23" s="8" t="s">
        <v>394</v>
      </c>
      <c r="E23" s="8" t="s">
        <v>395</v>
      </c>
      <c r="F23" s="8" t="s">
        <v>396</v>
      </c>
      <c r="G23" s="8" t="s">
        <v>119</v>
      </c>
      <c r="H23" s="8" t="s">
        <v>398</v>
      </c>
      <c r="I23" s="8" t="s">
        <v>165</v>
      </c>
      <c r="J23" s="8" t="s">
        <v>167</v>
      </c>
      <c r="K23" s="8" t="s">
        <v>168</v>
      </c>
      <c r="L23" s="8"/>
      <c r="M23" s="8"/>
    </row>
    <row r="24" ht="15.75" customHeight="1">
      <c r="A24" s="7" t="s">
        <v>402</v>
      </c>
      <c r="B24" s="7" t="s">
        <v>315</v>
      </c>
      <c r="C24" s="7" t="s">
        <v>363</v>
      </c>
      <c r="D24" s="7" t="s">
        <v>406</v>
      </c>
      <c r="E24" s="7" t="s">
        <v>119</v>
      </c>
      <c r="F24" s="7" t="s">
        <v>408</v>
      </c>
      <c r="G24" s="7" t="s">
        <v>119</v>
      </c>
      <c r="H24" s="7" t="s">
        <v>409</v>
      </c>
      <c r="I24" s="7" t="s">
        <v>165</v>
      </c>
      <c r="J24" s="7" t="s">
        <v>167</v>
      </c>
      <c r="K24" s="7" t="s">
        <v>168</v>
      </c>
      <c r="L24" s="7"/>
      <c r="M24" s="7"/>
    </row>
    <row r="25" ht="15.75" customHeight="1">
      <c r="A25" s="8" t="s">
        <v>411</v>
      </c>
      <c r="B25" s="8" t="s">
        <v>315</v>
      </c>
      <c r="C25" s="8" t="s">
        <v>363</v>
      </c>
      <c r="D25" s="8" t="s">
        <v>413</v>
      </c>
      <c r="E25" s="8" t="s">
        <v>414</v>
      </c>
      <c r="F25" s="8" t="s">
        <v>416</v>
      </c>
      <c r="G25" s="8" t="s">
        <v>119</v>
      </c>
      <c r="H25" s="8" t="s">
        <v>417</v>
      </c>
      <c r="I25" s="8" t="s">
        <v>165</v>
      </c>
      <c r="J25" s="8" t="s">
        <v>167</v>
      </c>
      <c r="K25" s="8" t="s">
        <v>168</v>
      </c>
      <c r="L25" s="8"/>
      <c r="M25" s="8"/>
    </row>
    <row r="26" ht="15.75" customHeight="1">
      <c r="A26" s="7" t="s">
        <v>422</v>
      </c>
      <c r="B26" s="7" t="s">
        <v>315</v>
      </c>
      <c r="C26" s="7" t="s">
        <v>363</v>
      </c>
      <c r="D26" s="7" t="s">
        <v>424</v>
      </c>
      <c r="E26" s="7" t="s">
        <v>290</v>
      </c>
      <c r="F26" s="7" t="s">
        <v>425</v>
      </c>
      <c r="G26" s="7" t="s">
        <v>119</v>
      </c>
      <c r="H26" s="7" t="s">
        <v>427</v>
      </c>
      <c r="I26" s="7" t="s">
        <v>71</v>
      </c>
      <c r="J26" s="7" t="s">
        <v>167</v>
      </c>
      <c r="K26" s="7" t="s">
        <v>168</v>
      </c>
      <c r="L26" s="7"/>
      <c r="M26" s="7"/>
    </row>
    <row r="27" ht="15.75" customHeight="1">
      <c r="A27" s="8" t="s">
        <v>430</v>
      </c>
      <c r="B27" s="8" t="s">
        <v>315</v>
      </c>
      <c r="C27" s="8" t="s">
        <v>432</v>
      </c>
      <c r="D27" s="8" t="s">
        <v>433</v>
      </c>
      <c r="E27" s="8" t="s">
        <v>290</v>
      </c>
      <c r="F27" s="8" t="s">
        <v>436</v>
      </c>
      <c r="G27" s="8" t="s">
        <v>119</v>
      </c>
      <c r="H27" s="8" t="s">
        <v>438</v>
      </c>
      <c r="I27" s="8" t="s">
        <v>165</v>
      </c>
      <c r="J27" s="8" t="s">
        <v>167</v>
      </c>
      <c r="K27" s="8" t="s">
        <v>168</v>
      </c>
      <c r="L27" s="8"/>
      <c r="M27" s="8"/>
    </row>
    <row r="28" ht="15.75" customHeight="1">
      <c r="A28" s="7" t="s">
        <v>442</v>
      </c>
      <c r="B28" s="7" t="s">
        <v>315</v>
      </c>
      <c r="C28" s="7" t="s">
        <v>432</v>
      </c>
      <c r="D28" s="7" t="s">
        <v>445</v>
      </c>
      <c r="E28" s="7" t="s">
        <v>446</v>
      </c>
      <c r="F28" s="7" t="s">
        <v>448</v>
      </c>
      <c r="G28" s="7" t="s">
        <v>119</v>
      </c>
      <c r="H28" s="7" t="s">
        <v>451</v>
      </c>
      <c r="I28" s="7" t="s">
        <v>165</v>
      </c>
      <c r="J28" s="7" t="s">
        <v>73</v>
      </c>
      <c r="K28" s="7" t="s">
        <v>168</v>
      </c>
      <c r="L28" s="7"/>
      <c r="M28" s="7"/>
    </row>
    <row r="29" ht="15.75" customHeight="1">
      <c r="A29" s="8" t="s">
        <v>456</v>
      </c>
      <c r="B29" s="8" t="s">
        <v>315</v>
      </c>
      <c r="C29" s="8" t="s">
        <v>432</v>
      </c>
      <c r="D29" s="8" t="s">
        <v>457</v>
      </c>
      <c r="E29" s="8" t="s">
        <v>458</v>
      </c>
      <c r="F29" s="8" t="s">
        <v>460</v>
      </c>
      <c r="G29" s="8" t="s">
        <v>119</v>
      </c>
      <c r="H29" s="8" t="s">
        <v>461</v>
      </c>
      <c r="I29" s="8" t="s">
        <v>165</v>
      </c>
      <c r="J29" s="8" t="s">
        <v>73</v>
      </c>
      <c r="K29" s="8" t="s">
        <v>168</v>
      </c>
      <c r="L29" s="8"/>
      <c r="M29" s="8"/>
    </row>
    <row r="30" ht="15.75" customHeight="1">
      <c r="A30" s="7" t="s">
        <v>465</v>
      </c>
      <c r="B30" s="7" t="s">
        <v>315</v>
      </c>
      <c r="C30" s="7" t="s">
        <v>467</v>
      </c>
      <c r="D30" s="7" t="s">
        <v>469</v>
      </c>
      <c r="E30" s="7" t="s">
        <v>470</v>
      </c>
      <c r="F30" s="7" t="s">
        <v>471</v>
      </c>
      <c r="G30" s="7" t="s">
        <v>119</v>
      </c>
      <c r="H30" s="7" t="s">
        <v>472</v>
      </c>
      <c r="I30" s="7" t="s">
        <v>165</v>
      </c>
      <c r="J30" s="7" t="s">
        <v>73</v>
      </c>
      <c r="K30" s="7" t="s">
        <v>168</v>
      </c>
      <c r="L30" s="7"/>
      <c r="M30" s="7"/>
    </row>
    <row r="31" ht="15.75" customHeight="1">
      <c r="A31" s="8" t="s">
        <v>477</v>
      </c>
      <c r="B31" s="8" t="s">
        <v>315</v>
      </c>
      <c r="C31" s="8" t="s">
        <v>467</v>
      </c>
      <c r="D31" s="8" t="s">
        <v>481</v>
      </c>
      <c r="E31" s="8" t="s">
        <v>483</v>
      </c>
      <c r="F31" s="8" t="s">
        <v>484</v>
      </c>
      <c r="G31" s="8" t="s">
        <v>119</v>
      </c>
      <c r="H31" s="8" t="s">
        <v>486</v>
      </c>
      <c r="I31" s="8" t="s">
        <v>165</v>
      </c>
      <c r="J31" s="8" t="s">
        <v>73</v>
      </c>
      <c r="K31" s="8" t="s">
        <v>168</v>
      </c>
      <c r="L31" s="8"/>
      <c r="M31" s="8"/>
    </row>
    <row r="32" ht="15.75" customHeight="1">
      <c r="A32" s="7" t="s">
        <v>488</v>
      </c>
      <c r="B32" s="7" t="s">
        <v>315</v>
      </c>
      <c r="C32" s="7" t="s">
        <v>467</v>
      </c>
      <c r="D32" s="7" t="s">
        <v>489</v>
      </c>
      <c r="E32" s="7" t="s">
        <v>491</v>
      </c>
      <c r="F32" s="7" t="s">
        <v>492</v>
      </c>
      <c r="G32" s="7" t="s">
        <v>119</v>
      </c>
      <c r="H32" s="7" t="s">
        <v>494</v>
      </c>
      <c r="I32" s="7" t="s">
        <v>165</v>
      </c>
      <c r="J32" s="7" t="s">
        <v>167</v>
      </c>
      <c r="K32" s="7" t="s">
        <v>168</v>
      </c>
      <c r="L32" s="7"/>
      <c r="M32" s="7"/>
    </row>
    <row r="33" ht="15.75" customHeight="1">
      <c r="A33" s="8" t="s">
        <v>496</v>
      </c>
      <c r="B33" s="8" t="s">
        <v>315</v>
      </c>
      <c r="C33" s="8" t="s">
        <v>467</v>
      </c>
      <c r="D33" s="8" t="s">
        <v>498</v>
      </c>
      <c r="E33" s="8" t="s">
        <v>491</v>
      </c>
      <c r="F33" s="8" t="s">
        <v>502</v>
      </c>
      <c r="G33" s="8" t="s">
        <v>119</v>
      </c>
      <c r="H33" s="8" t="s">
        <v>504</v>
      </c>
      <c r="I33" s="8" t="s">
        <v>165</v>
      </c>
      <c r="J33" s="8" t="s">
        <v>167</v>
      </c>
      <c r="K33" s="8" t="s">
        <v>168</v>
      </c>
      <c r="L33" s="8"/>
      <c r="M33" s="8"/>
    </row>
    <row r="34" ht="15.75" customHeight="1">
      <c r="A34" s="7" t="s">
        <v>505</v>
      </c>
      <c r="B34" s="7" t="s">
        <v>315</v>
      </c>
      <c r="C34" s="7" t="s">
        <v>467</v>
      </c>
      <c r="D34" s="7" t="s">
        <v>506</v>
      </c>
      <c r="E34" s="7" t="s">
        <v>507</v>
      </c>
      <c r="F34" s="7" t="s">
        <v>509</v>
      </c>
      <c r="G34" s="7" t="s">
        <v>119</v>
      </c>
      <c r="H34" s="7" t="s">
        <v>511</v>
      </c>
      <c r="I34" s="7" t="s">
        <v>125</v>
      </c>
      <c r="J34" s="7" t="s">
        <v>73</v>
      </c>
      <c r="K34" s="7" t="s">
        <v>168</v>
      </c>
      <c r="L34" s="7"/>
      <c r="M34" s="7"/>
    </row>
    <row r="35" ht="15.75" customHeight="1">
      <c r="A35" s="8" t="s">
        <v>519</v>
      </c>
      <c r="B35" s="8" t="s">
        <v>315</v>
      </c>
      <c r="C35" s="8" t="s">
        <v>467</v>
      </c>
      <c r="D35" s="8" t="s">
        <v>522</v>
      </c>
      <c r="E35" s="8" t="s">
        <v>523</v>
      </c>
      <c r="F35" s="8" t="s">
        <v>524</v>
      </c>
      <c r="G35" s="8" t="s">
        <v>119</v>
      </c>
      <c r="H35" s="8" t="s">
        <v>525</v>
      </c>
      <c r="I35" s="8" t="s">
        <v>125</v>
      </c>
      <c r="J35" s="8" t="s">
        <v>73</v>
      </c>
      <c r="K35" s="8" t="s">
        <v>168</v>
      </c>
      <c r="L35" s="8"/>
      <c r="M35" s="8"/>
    </row>
    <row r="36" ht="15.75" customHeight="1">
      <c r="A36" s="7" t="s">
        <v>528</v>
      </c>
      <c r="B36" s="7" t="s">
        <v>315</v>
      </c>
      <c r="C36" s="7" t="s">
        <v>530</v>
      </c>
      <c r="D36" s="7" t="s">
        <v>532</v>
      </c>
      <c r="E36" s="7" t="s">
        <v>535</v>
      </c>
      <c r="F36" s="7" t="s">
        <v>537</v>
      </c>
      <c r="G36" s="7" t="s">
        <v>119</v>
      </c>
      <c r="H36" s="7" t="s">
        <v>539</v>
      </c>
      <c r="I36" s="7" t="s">
        <v>125</v>
      </c>
      <c r="J36" s="7" t="s">
        <v>73</v>
      </c>
      <c r="K36" s="7" t="s">
        <v>168</v>
      </c>
      <c r="L36" s="7"/>
      <c r="M36" s="7"/>
    </row>
    <row r="37" ht="15.75" customHeight="1">
      <c r="A37" s="8" t="s">
        <v>542</v>
      </c>
      <c r="B37" s="8" t="s">
        <v>543</v>
      </c>
      <c r="C37" s="8" t="s">
        <v>544</v>
      </c>
      <c r="D37" s="8" t="s">
        <v>545</v>
      </c>
      <c r="E37" s="8" t="s">
        <v>177</v>
      </c>
      <c r="F37" s="8" t="s">
        <v>178</v>
      </c>
      <c r="G37" s="8" t="s">
        <v>119</v>
      </c>
      <c r="H37" s="8" t="s">
        <v>550</v>
      </c>
      <c r="I37" s="8" t="s">
        <v>125</v>
      </c>
      <c r="J37" s="8" t="s">
        <v>73</v>
      </c>
      <c r="K37" s="8" t="s">
        <v>168</v>
      </c>
      <c r="L37" s="8"/>
      <c r="M37" s="8"/>
    </row>
    <row r="38" ht="15.75" customHeight="1">
      <c r="A38" s="7" t="s">
        <v>555</v>
      </c>
      <c r="B38" s="7" t="s">
        <v>543</v>
      </c>
      <c r="C38" s="7" t="s">
        <v>544</v>
      </c>
      <c r="D38" s="7" t="s">
        <v>557</v>
      </c>
      <c r="E38" s="7" t="s">
        <v>281</v>
      </c>
      <c r="F38" s="7" t="s">
        <v>559</v>
      </c>
      <c r="G38" s="7" t="s">
        <v>119</v>
      </c>
      <c r="H38" s="7" t="s">
        <v>561</v>
      </c>
      <c r="I38" s="7" t="s">
        <v>165</v>
      </c>
      <c r="J38" s="7" t="s">
        <v>167</v>
      </c>
      <c r="K38" s="7" t="s">
        <v>168</v>
      </c>
      <c r="L38" s="7"/>
      <c r="M38" s="7"/>
    </row>
    <row r="39" ht="15.75" customHeight="1">
      <c r="A39" s="8" t="s">
        <v>564</v>
      </c>
      <c r="B39" s="8" t="s">
        <v>543</v>
      </c>
      <c r="C39" s="8" t="s">
        <v>544</v>
      </c>
      <c r="D39" s="8" t="s">
        <v>568</v>
      </c>
      <c r="E39" s="8" t="s">
        <v>290</v>
      </c>
      <c r="F39" s="8" t="s">
        <v>569</v>
      </c>
      <c r="G39" s="8" t="s">
        <v>119</v>
      </c>
      <c r="H39" s="8" t="s">
        <v>571</v>
      </c>
      <c r="I39" s="8" t="s">
        <v>165</v>
      </c>
      <c r="J39" s="8" t="s">
        <v>167</v>
      </c>
      <c r="K39" s="8" t="s">
        <v>168</v>
      </c>
      <c r="L39" s="8"/>
      <c r="M39" s="8"/>
    </row>
    <row r="40" ht="15.75" customHeight="1">
      <c r="A40" s="7" t="s">
        <v>575</v>
      </c>
      <c r="B40" s="7" t="s">
        <v>543</v>
      </c>
      <c r="C40" s="7" t="s">
        <v>544</v>
      </c>
      <c r="D40" s="7" t="s">
        <v>576</v>
      </c>
      <c r="E40" s="7" t="s">
        <v>414</v>
      </c>
      <c r="F40" s="7" t="s">
        <v>577</v>
      </c>
      <c r="G40" s="7" t="s">
        <v>119</v>
      </c>
      <c r="H40" s="7" t="s">
        <v>578</v>
      </c>
      <c r="I40" s="7" t="s">
        <v>165</v>
      </c>
      <c r="J40" s="7" t="s">
        <v>167</v>
      </c>
      <c r="K40" s="7" t="s">
        <v>168</v>
      </c>
      <c r="L40" s="7"/>
      <c r="M40" s="7"/>
    </row>
    <row r="41" ht="15.75" customHeight="1">
      <c r="A41" s="8" t="s">
        <v>579</v>
      </c>
      <c r="B41" s="8" t="s">
        <v>543</v>
      </c>
      <c r="C41" s="8" t="s">
        <v>544</v>
      </c>
      <c r="D41" s="8" t="s">
        <v>580</v>
      </c>
      <c r="E41" s="8" t="s">
        <v>414</v>
      </c>
      <c r="F41" s="8" t="s">
        <v>582</v>
      </c>
      <c r="G41" s="8" t="s">
        <v>119</v>
      </c>
      <c r="H41" s="8" t="s">
        <v>583</v>
      </c>
      <c r="I41" s="8" t="s">
        <v>165</v>
      </c>
      <c r="J41" s="8" t="s">
        <v>167</v>
      </c>
      <c r="K41" s="8" t="s">
        <v>168</v>
      </c>
      <c r="L41" s="8"/>
      <c r="M41" s="8"/>
    </row>
    <row r="42" ht="15.75" customHeight="1">
      <c r="A42" s="7" t="s">
        <v>585</v>
      </c>
      <c r="B42" s="7" t="s">
        <v>543</v>
      </c>
      <c r="C42" s="7" t="s">
        <v>544</v>
      </c>
      <c r="D42" s="7" t="s">
        <v>587</v>
      </c>
      <c r="E42" s="7" t="s">
        <v>589</v>
      </c>
      <c r="F42" s="7" t="s">
        <v>590</v>
      </c>
      <c r="G42" s="7" t="s">
        <v>119</v>
      </c>
      <c r="H42" s="7" t="s">
        <v>592</v>
      </c>
      <c r="I42" s="7" t="s">
        <v>71</v>
      </c>
      <c r="J42" s="7" t="s">
        <v>73</v>
      </c>
      <c r="K42" s="7" t="s">
        <v>168</v>
      </c>
      <c r="L42" s="7"/>
      <c r="M42" s="7"/>
    </row>
    <row r="43" ht="15.75" customHeight="1">
      <c r="A43" s="8" t="s">
        <v>593</v>
      </c>
      <c r="B43" s="8" t="s">
        <v>543</v>
      </c>
      <c r="C43" s="8" t="s">
        <v>544</v>
      </c>
      <c r="D43" s="8" t="s">
        <v>594</v>
      </c>
      <c r="E43" s="8" t="s">
        <v>595</v>
      </c>
      <c r="F43" s="8" t="s">
        <v>596</v>
      </c>
      <c r="G43" s="8" t="s">
        <v>119</v>
      </c>
      <c r="H43" s="8" t="s">
        <v>597</v>
      </c>
      <c r="I43" s="8" t="s">
        <v>125</v>
      </c>
      <c r="J43" s="8" t="s">
        <v>73</v>
      </c>
      <c r="K43" s="8" t="s">
        <v>168</v>
      </c>
      <c r="L43" s="8"/>
      <c r="M43" s="8"/>
    </row>
    <row r="44" ht="15.75" customHeight="1">
      <c r="A44" s="7" t="s">
        <v>599</v>
      </c>
      <c r="B44" s="7" t="s">
        <v>543</v>
      </c>
      <c r="C44" s="7" t="s">
        <v>544</v>
      </c>
      <c r="D44" s="7" t="s">
        <v>600</v>
      </c>
      <c r="E44" s="7" t="s">
        <v>602</v>
      </c>
      <c r="F44" s="7" t="s">
        <v>603</v>
      </c>
      <c r="G44" s="7" t="s">
        <v>119</v>
      </c>
      <c r="H44" s="7" t="s">
        <v>605</v>
      </c>
      <c r="I44" s="7" t="s">
        <v>125</v>
      </c>
      <c r="J44" s="7" t="s">
        <v>73</v>
      </c>
      <c r="K44" s="7" t="s">
        <v>168</v>
      </c>
      <c r="L44" s="7"/>
      <c r="M44" s="7"/>
    </row>
    <row r="45" ht="15.75" customHeight="1">
      <c r="A45" s="8" t="s">
        <v>607</v>
      </c>
      <c r="B45" s="8" t="s">
        <v>543</v>
      </c>
      <c r="C45" s="8" t="s">
        <v>544</v>
      </c>
      <c r="D45" s="8" t="s">
        <v>608</v>
      </c>
      <c r="E45" s="8" t="s">
        <v>609</v>
      </c>
      <c r="F45" s="8" t="s">
        <v>611</v>
      </c>
      <c r="G45" s="8" t="s">
        <v>119</v>
      </c>
      <c r="H45" s="8" t="s">
        <v>578</v>
      </c>
      <c r="I45" s="8" t="s">
        <v>125</v>
      </c>
      <c r="J45" s="8" t="s">
        <v>167</v>
      </c>
      <c r="K45" s="8" t="s">
        <v>168</v>
      </c>
      <c r="L45" s="8"/>
      <c r="M45" s="8"/>
    </row>
    <row r="46" ht="15.75" customHeight="1">
      <c r="A46" s="7" t="s">
        <v>615</v>
      </c>
      <c r="B46" s="7" t="s">
        <v>616</v>
      </c>
      <c r="C46" s="7" t="s">
        <v>617</v>
      </c>
      <c r="D46" s="7" t="s">
        <v>618</v>
      </c>
      <c r="E46" s="7" t="s">
        <v>290</v>
      </c>
      <c r="F46" s="7" t="s">
        <v>619</v>
      </c>
      <c r="G46" s="7" t="s">
        <v>119</v>
      </c>
      <c r="H46" s="7" t="s">
        <v>621</v>
      </c>
      <c r="I46" s="7" t="s">
        <v>71</v>
      </c>
      <c r="J46" s="7" t="s">
        <v>167</v>
      </c>
      <c r="K46" s="7" t="s">
        <v>168</v>
      </c>
      <c r="L46" s="7"/>
      <c r="M46" s="7"/>
    </row>
    <row r="47" ht="15.75" customHeight="1">
      <c r="A47" s="8" t="s">
        <v>625</v>
      </c>
      <c r="B47" s="8" t="s">
        <v>616</v>
      </c>
      <c r="C47" s="8" t="s">
        <v>617</v>
      </c>
      <c r="D47" s="8" t="s">
        <v>627</v>
      </c>
      <c r="E47" s="8" t="s">
        <v>290</v>
      </c>
      <c r="F47" s="8" t="s">
        <v>628</v>
      </c>
      <c r="G47" s="8" t="s">
        <v>119</v>
      </c>
      <c r="H47" s="8" t="s">
        <v>629</v>
      </c>
      <c r="I47" s="8" t="s">
        <v>71</v>
      </c>
      <c r="J47" s="8" t="s">
        <v>167</v>
      </c>
      <c r="K47" s="8" t="s">
        <v>168</v>
      </c>
      <c r="L47" s="8"/>
      <c r="M47" s="8"/>
    </row>
    <row r="48" ht="15.75" customHeight="1">
      <c r="A48" s="7" t="s">
        <v>631</v>
      </c>
      <c r="B48" s="7" t="s">
        <v>616</v>
      </c>
      <c r="C48" s="7" t="s">
        <v>617</v>
      </c>
      <c r="D48" s="7" t="s">
        <v>633</v>
      </c>
      <c r="E48" s="7" t="s">
        <v>290</v>
      </c>
      <c r="F48" s="7" t="s">
        <v>635</v>
      </c>
      <c r="G48" s="7" t="s">
        <v>119</v>
      </c>
      <c r="H48" s="7" t="s">
        <v>636</v>
      </c>
      <c r="I48" s="7" t="s">
        <v>344</v>
      </c>
      <c r="J48" s="7" t="s">
        <v>167</v>
      </c>
      <c r="K48" s="7" t="s">
        <v>168</v>
      </c>
      <c r="L48" s="7"/>
      <c r="M48" s="7"/>
    </row>
    <row r="49" ht="15.75" customHeight="1">
      <c r="A49" s="8" t="s">
        <v>638</v>
      </c>
      <c r="B49" s="8" t="s">
        <v>616</v>
      </c>
      <c r="C49" s="8" t="s">
        <v>617</v>
      </c>
      <c r="D49" s="8" t="s">
        <v>640</v>
      </c>
      <c r="E49" s="8" t="s">
        <v>290</v>
      </c>
      <c r="F49" s="8" t="s">
        <v>641</v>
      </c>
      <c r="G49" s="8" t="s">
        <v>119</v>
      </c>
      <c r="H49" s="8" t="s">
        <v>643</v>
      </c>
      <c r="I49" s="8" t="s">
        <v>71</v>
      </c>
      <c r="J49" s="8" t="s">
        <v>167</v>
      </c>
      <c r="K49" s="8" t="s">
        <v>168</v>
      </c>
      <c r="L49" s="8"/>
      <c r="M49" s="8"/>
    </row>
    <row r="50" ht="15.75" customHeight="1">
      <c r="A50" s="7" t="s">
        <v>645</v>
      </c>
      <c r="B50" s="7" t="s">
        <v>616</v>
      </c>
      <c r="C50" s="7" t="s">
        <v>617</v>
      </c>
      <c r="D50" s="7" t="s">
        <v>648</v>
      </c>
      <c r="E50" s="7" t="s">
        <v>290</v>
      </c>
      <c r="F50" s="7" t="s">
        <v>650</v>
      </c>
      <c r="G50" s="7" t="s">
        <v>119</v>
      </c>
      <c r="H50" s="7" t="s">
        <v>652</v>
      </c>
      <c r="I50" s="7" t="s">
        <v>71</v>
      </c>
      <c r="J50" s="7" t="s">
        <v>454</v>
      </c>
      <c r="K50" s="7" t="s">
        <v>168</v>
      </c>
      <c r="L50" s="7"/>
      <c r="M50" s="7"/>
    </row>
    <row r="51" ht="15.75" customHeight="1">
      <c r="A51" s="8" t="s">
        <v>654</v>
      </c>
      <c r="B51" s="8" t="s">
        <v>616</v>
      </c>
      <c r="C51" s="8" t="s">
        <v>617</v>
      </c>
      <c r="D51" s="8" t="s">
        <v>656</v>
      </c>
      <c r="E51" s="8" t="s">
        <v>290</v>
      </c>
      <c r="F51" s="8" t="s">
        <v>659</v>
      </c>
      <c r="G51" s="8" t="s">
        <v>119</v>
      </c>
      <c r="H51" s="8" t="s">
        <v>661</v>
      </c>
      <c r="I51" s="8" t="s">
        <v>71</v>
      </c>
      <c r="J51" s="8" t="s">
        <v>167</v>
      </c>
      <c r="K51" s="8" t="s">
        <v>168</v>
      </c>
      <c r="L51" s="8"/>
      <c r="M51" s="8"/>
    </row>
    <row r="52" ht="15.75" customHeight="1">
      <c r="A52" s="7" t="s">
        <v>666</v>
      </c>
      <c r="B52" s="7" t="s">
        <v>616</v>
      </c>
      <c r="C52" s="7" t="s">
        <v>617</v>
      </c>
      <c r="D52" s="7" t="s">
        <v>668</v>
      </c>
      <c r="E52" s="7" t="s">
        <v>290</v>
      </c>
      <c r="F52" s="7" t="s">
        <v>671</v>
      </c>
      <c r="G52" s="7" t="s">
        <v>119</v>
      </c>
      <c r="H52" s="7" t="s">
        <v>673</v>
      </c>
      <c r="I52" s="7" t="s">
        <v>71</v>
      </c>
      <c r="J52" s="7" t="s">
        <v>167</v>
      </c>
      <c r="K52" s="7" t="s">
        <v>168</v>
      </c>
      <c r="L52" s="7"/>
      <c r="M52" s="7"/>
    </row>
    <row r="53" ht="15.75" customHeight="1">
      <c r="A53" s="8" t="s">
        <v>679</v>
      </c>
      <c r="B53" s="8" t="s">
        <v>616</v>
      </c>
      <c r="C53" s="8" t="s">
        <v>617</v>
      </c>
      <c r="D53" s="8" t="s">
        <v>683</v>
      </c>
      <c r="E53" s="8" t="s">
        <v>290</v>
      </c>
      <c r="F53" s="8" t="s">
        <v>685</v>
      </c>
      <c r="G53" s="8" t="s">
        <v>119</v>
      </c>
      <c r="H53" s="8" t="s">
        <v>687</v>
      </c>
      <c r="I53" s="8" t="s">
        <v>71</v>
      </c>
      <c r="J53" s="8" t="s">
        <v>167</v>
      </c>
      <c r="K53" s="8" t="s">
        <v>168</v>
      </c>
      <c r="L53" s="8"/>
      <c r="M53" s="8"/>
    </row>
    <row r="54" ht="15.75" customHeight="1">
      <c r="A54" s="7" t="s">
        <v>692</v>
      </c>
      <c r="B54" s="7" t="s">
        <v>616</v>
      </c>
      <c r="C54" s="7" t="s">
        <v>617</v>
      </c>
      <c r="D54" s="7" t="s">
        <v>694</v>
      </c>
      <c r="E54" s="7" t="s">
        <v>290</v>
      </c>
      <c r="F54" s="7" t="s">
        <v>696</v>
      </c>
      <c r="G54" s="7" t="s">
        <v>119</v>
      </c>
      <c r="H54" s="7" t="s">
        <v>699</v>
      </c>
      <c r="I54" s="7" t="s">
        <v>71</v>
      </c>
      <c r="J54" s="7" t="s">
        <v>167</v>
      </c>
      <c r="K54" s="7" t="s">
        <v>168</v>
      </c>
      <c r="L54" s="7"/>
      <c r="M54" s="7"/>
    </row>
    <row r="55" ht="15.75" customHeight="1">
      <c r="A55" s="8" t="s">
        <v>701</v>
      </c>
      <c r="B55" s="8" t="s">
        <v>616</v>
      </c>
      <c r="C55" s="8" t="s">
        <v>617</v>
      </c>
      <c r="D55" s="8" t="s">
        <v>703</v>
      </c>
      <c r="E55" s="8" t="s">
        <v>290</v>
      </c>
      <c r="F55" s="8" t="s">
        <v>705</v>
      </c>
      <c r="G55" s="8" t="s">
        <v>119</v>
      </c>
      <c r="H55" s="8" t="s">
        <v>708</v>
      </c>
      <c r="I55" s="8" t="s">
        <v>71</v>
      </c>
      <c r="J55" s="8" t="s">
        <v>454</v>
      </c>
      <c r="K55" s="8" t="s">
        <v>168</v>
      </c>
      <c r="L55" s="8"/>
      <c r="M55" s="8"/>
    </row>
    <row r="56" ht="15.75" customHeight="1">
      <c r="A56" s="7" t="s">
        <v>712</v>
      </c>
      <c r="B56" s="7" t="s">
        <v>616</v>
      </c>
      <c r="C56" s="7" t="s">
        <v>617</v>
      </c>
      <c r="D56" s="7" t="s">
        <v>715</v>
      </c>
      <c r="E56" s="7" t="s">
        <v>290</v>
      </c>
      <c r="F56" s="7" t="s">
        <v>250</v>
      </c>
      <c r="G56" s="7" t="s">
        <v>119</v>
      </c>
      <c r="H56" s="7" t="s">
        <v>717</v>
      </c>
      <c r="I56" s="7" t="s">
        <v>344</v>
      </c>
      <c r="J56" s="7" t="s">
        <v>454</v>
      </c>
      <c r="K56" s="7" t="s">
        <v>168</v>
      </c>
      <c r="L56" s="7"/>
      <c r="M56" s="7"/>
    </row>
    <row r="57" ht="15.75" customHeight="1">
      <c r="A57" s="8" t="s">
        <v>726</v>
      </c>
      <c r="B57" s="8" t="s">
        <v>616</v>
      </c>
      <c r="C57" s="8" t="s">
        <v>617</v>
      </c>
      <c r="D57" s="8" t="s">
        <v>729</v>
      </c>
      <c r="E57" s="8" t="s">
        <v>290</v>
      </c>
      <c r="F57" s="8" t="s">
        <v>731</v>
      </c>
      <c r="G57" s="8" t="s">
        <v>119</v>
      </c>
      <c r="H57" s="8" t="s">
        <v>733</v>
      </c>
      <c r="I57" s="8" t="s">
        <v>71</v>
      </c>
      <c r="J57" s="8" t="s">
        <v>167</v>
      </c>
      <c r="K57" s="8" t="s">
        <v>168</v>
      </c>
      <c r="L57" s="8"/>
      <c r="M57" s="8"/>
    </row>
    <row r="58" ht="15.75" customHeight="1">
      <c r="A58" s="7" t="s">
        <v>735</v>
      </c>
      <c r="B58" s="7" t="s">
        <v>616</v>
      </c>
      <c r="C58" s="7" t="s">
        <v>617</v>
      </c>
      <c r="D58" s="7" t="s">
        <v>737</v>
      </c>
      <c r="E58" s="7" t="s">
        <v>290</v>
      </c>
      <c r="F58" s="7" t="s">
        <v>739</v>
      </c>
      <c r="G58" s="7" t="s">
        <v>119</v>
      </c>
      <c r="H58" s="7" t="s">
        <v>741</v>
      </c>
      <c r="I58" s="7" t="s">
        <v>71</v>
      </c>
      <c r="J58" s="7" t="s">
        <v>167</v>
      </c>
      <c r="K58" s="7" t="s">
        <v>168</v>
      </c>
      <c r="L58" s="7"/>
      <c r="M58" s="7"/>
    </row>
    <row r="59" ht="15.75" customHeight="1">
      <c r="A59" s="8" t="s">
        <v>744</v>
      </c>
      <c r="B59" s="8" t="s">
        <v>616</v>
      </c>
      <c r="C59" s="8" t="s">
        <v>617</v>
      </c>
      <c r="D59" s="8" t="s">
        <v>745</v>
      </c>
      <c r="E59" s="8" t="s">
        <v>290</v>
      </c>
      <c r="F59" s="8" t="s">
        <v>747</v>
      </c>
      <c r="G59" s="8" t="s">
        <v>119</v>
      </c>
      <c r="H59" s="8" t="s">
        <v>748</v>
      </c>
      <c r="I59" s="8" t="s">
        <v>125</v>
      </c>
      <c r="J59" s="8" t="s">
        <v>167</v>
      </c>
      <c r="K59" s="8" t="s">
        <v>168</v>
      </c>
      <c r="L59" s="8"/>
      <c r="M59" s="8"/>
    </row>
    <row r="60" ht="15.75" customHeight="1">
      <c r="A60" s="7" t="s">
        <v>751</v>
      </c>
      <c r="B60" s="7" t="s">
        <v>616</v>
      </c>
      <c r="C60" s="7" t="s">
        <v>617</v>
      </c>
      <c r="D60" s="7" t="s">
        <v>752</v>
      </c>
      <c r="E60" s="7" t="s">
        <v>290</v>
      </c>
      <c r="F60" s="7" t="s">
        <v>754</v>
      </c>
      <c r="G60" s="7" t="s">
        <v>119</v>
      </c>
      <c r="H60" s="7" t="s">
        <v>756</v>
      </c>
      <c r="I60" s="7" t="s">
        <v>71</v>
      </c>
      <c r="J60" s="7" t="s">
        <v>167</v>
      </c>
      <c r="K60" s="7" t="s">
        <v>168</v>
      </c>
      <c r="L60" s="7"/>
      <c r="M60" s="7"/>
    </row>
    <row r="61" ht="15.75" customHeight="1">
      <c r="A61" s="8" t="s">
        <v>760</v>
      </c>
      <c r="B61" s="8" t="s">
        <v>616</v>
      </c>
      <c r="C61" s="8" t="s">
        <v>617</v>
      </c>
      <c r="D61" s="8" t="s">
        <v>761</v>
      </c>
      <c r="E61" s="8" t="s">
        <v>290</v>
      </c>
      <c r="F61" s="8" t="s">
        <v>764</v>
      </c>
      <c r="G61" s="8" t="s">
        <v>119</v>
      </c>
      <c r="H61" s="8" t="s">
        <v>766</v>
      </c>
      <c r="I61" s="8" t="s">
        <v>71</v>
      </c>
      <c r="J61" s="8" t="s">
        <v>167</v>
      </c>
      <c r="K61" s="8" t="s">
        <v>168</v>
      </c>
      <c r="L61" s="8"/>
      <c r="M61" s="8"/>
    </row>
    <row r="62" ht="15.75" customHeight="1">
      <c r="A62" s="7" t="s">
        <v>784</v>
      </c>
      <c r="B62" s="7" t="s">
        <v>616</v>
      </c>
      <c r="C62" s="7" t="s">
        <v>617</v>
      </c>
      <c r="D62" s="7" t="s">
        <v>790</v>
      </c>
      <c r="E62" s="7" t="s">
        <v>290</v>
      </c>
      <c r="F62" s="7" t="s">
        <v>795</v>
      </c>
      <c r="G62" s="7" t="s">
        <v>119</v>
      </c>
      <c r="H62" s="7" t="s">
        <v>797</v>
      </c>
      <c r="I62" s="7" t="s">
        <v>71</v>
      </c>
      <c r="J62" s="7" t="s">
        <v>454</v>
      </c>
      <c r="K62" s="7" t="s">
        <v>168</v>
      </c>
      <c r="L62" s="7"/>
      <c r="M62" s="7"/>
    </row>
    <row r="63" ht="15.75" customHeight="1">
      <c r="A63" s="8" t="s">
        <v>803</v>
      </c>
      <c r="B63" s="8" t="s">
        <v>616</v>
      </c>
      <c r="C63" s="8" t="s">
        <v>617</v>
      </c>
      <c r="D63" s="8" t="s">
        <v>804</v>
      </c>
      <c r="E63" s="8" t="s">
        <v>290</v>
      </c>
      <c r="F63" s="8" t="s">
        <v>806</v>
      </c>
      <c r="G63" s="8" t="s">
        <v>119</v>
      </c>
      <c r="H63" s="8" t="s">
        <v>810</v>
      </c>
      <c r="I63" s="8" t="s">
        <v>71</v>
      </c>
      <c r="J63" s="8" t="s">
        <v>454</v>
      </c>
      <c r="K63" s="8" t="s">
        <v>168</v>
      </c>
      <c r="L63" s="8"/>
      <c r="M63" s="8"/>
    </row>
    <row r="64" ht="15.75" customHeight="1">
      <c r="A64" s="7" t="s">
        <v>814</v>
      </c>
      <c r="B64" s="7" t="s">
        <v>616</v>
      </c>
      <c r="C64" s="7" t="s">
        <v>617</v>
      </c>
      <c r="D64" s="7" t="s">
        <v>815</v>
      </c>
      <c r="E64" s="7" t="s">
        <v>290</v>
      </c>
      <c r="F64" s="7" t="s">
        <v>817</v>
      </c>
      <c r="G64" s="7" t="s">
        <v>119</v>
      </c>
      <c r="H64" s="7" t="s">
        <v>818</v>
      </c>
      <c r="I64" s="7" t="s">
        <v>71</v>
      </c>
      <c r="J64" s="7" t="s">
        <v>167</v>
      </c>
      <c r="K64" s="7" t="s">
        <v>168</v>
      </c>
      <c r="L64" s="7"/>
      <c r="M64" s="7"/>
    </row>
    <row r="65" ht="15.75" customHeight="1">
      <c r="A65" s="8" t="s">
        <v>823</v>
      </c>
      <c r="B65" s="8" t="s">
        <v>315</v>
      </c>
      <c r="C65" s="8" t="s">
        <v>316</v>
      </c>
      <c r="D65" s="8" t="s">
        <v>824</v>
      </c>
      <c r="E65" s="8" t="s">
        <v>328</v>
      </c>
      <c r="F65" s="8" t="s">
        <v>826</v>
      </c>
      <c r="G65" s="8" t="s">
        <v>119</v>
      </c>
      <c r="H65" s="8" t="s">
        <v>829</v>
      </c>
      <c r="I65" s="8" t="s">
        <v>165</v>
      </c>
      <c r="J65" s="8" t="s">
        <v>167</v>
      </c>
      <c r="K65" s="8" t="s">
        <v>168</v>
      </c>
      <c r="L65" s="8"/>
      <c r="M65" s="8"/>
    </row>
    <row r="66" ht="15.75" customHeight="1">
      <c r="A66" s="8" t="s">
        <v>832</v>
      </c>
      <c r="B66" s="8" t="s">
        <v>543</v>
      </c>
      <c r="C66" s="8" t="s">
        <v>544</v>
      </c>
      <c r="D66" s="8" t="s">
        <v>833</v>
      </c>
      <c r="E66" s="8" t="s">
        <v>834</v>
      </c>
      <c r="F66" s="8" t="s">
        <v>836</v>
      </c>
      <c r="G66" s="8" t="s">
        <v>119</v>
      </c>
      <c r="H66" s="8" t="s">
        <v>837</v>
      </c>
      <c r="I66" s="8" t="s">
        <v>71</v>
      </c>
      <c r="J66" s="8" t="s">
        <v>167</v>
      </c>
      <c r="K66" s="8" t="s">
        <v>168</v>
      </c>
      <c r="L66" s="8"/>
      <c r="M66" s="8"/>
    </row>
    <row r="67" ht="15.75" customHeight="1">
      <c r="A67" s="8" t="s">
        <v>841</v>
      </c>
      <c r="B67" s="8" t="s">
        <v>543</v>
      </c>
      <c r="C67" s="8" t="s">
        <v>544</v>
      </c>
      <c r="D67" s="8" t="s">
        <v>842</v>
      </c>
      <c r="E67" s="8" t="s">
        <v>843</v>
      </c>
      <c r="F67" s="8" t="s">
        <v>844</v>
      </c>
      <c r="G67" s="8" t="s">
        <v>119</v>
      </c>
      <c r="H67" s="8" t="s">
        <v>846</v>
      </c>
      <c r="I67" s="8" t="s">
        <v>71</v>
      </c>
      <c r="J67" s="8" t="s">
        <v>167</v>
      </c>
      <c r="K67" s="8" t="s">
        <v>168</v>
      </c>
      <c r="L67" s="8"/>
      <c r="M67" s="8"/>
    </row>
    <row r="68" ht="15.75" customHeight="1">
      <c r="A68" s="8" t="s">
        <v>849</v>
      </c>
      <c r="B68" s="8" t="s">
        <v>543</v>
      </c>
      <c r="C68" s="8" t="s">
        <v>544</v>
      </c>
      <c r="D68" s="8" t="s">
        <v>851</v>
      </c>
      <c r="E68" s="8" t="s">
        <v>852</v>
      </c>
      <c r="F68" s="8" t="s">
        <v>853</v>
      </c>
      <c r="G68" s="8" t="s">
        <v>119</v>
      </c>
      <c r="H68" s="8" t="s">
        <v>854</v>
      </c>
      <c r="I68" s="8" t="s">
        <v>125</v>
      </c>
      <c r="J68" s="8" t="s">
        <v>167</v>
      </c>
      <c r="K68" s="8" t="s">
        <v>168</v>
      </c>
      <c r="L68" s="8"/>
      <c r="M68" s="8"/>
    </row>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64"/>
  <dataValidations>
    <dataValidation type="list" allowBlank="1" sqref="K2:K64">
      <formula1>"Pendiente,Aprobado,Fallido,No aplica,Bloqueado"</formula1>
    </dataValidation>
  </dataValidation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2" width="16.0"/>
    <col customWidth="1" min="3" max="3" width="52.0"/>
    <col customWidth="1" min="4" max="4" width="14.0"/>
    <col customWidth="1" min="5" max="6" width="16.0"/>
    <col customWidth="1" min="7" max="7" width="24.0"/>
    <col customWidth="1" min="8" max="9" width="14.0"/>
    <col customWidth="1" min="10" max="10" width="34.0"/>
  </cols>
  <sheetData>
    <row r="1">
      <c r="A1" s="6" t="s">
        <v>7</v>
      </c>
      <c r="B1" s="6" t="s">
        <v>254</v>
      </c>
      <c r="C1" s="6" t="s">
        <v>256</v>
      </c>
      <c r="D1" s="6" t="s">
        <v>258</v>
      </c>
      <c r="E1" s="6" t="s">
        <v>260</v>
      </c>
      <c r="F1" s="6" t="s">
        <v>263</v>
      </c>
      <c r="G1" s="6" t="s">
        <v>265</v>
      </c>
      <c r="H1" s="6" t="s">
        <v>269</v>
      </c>
      <c r="I1" s="6" t="s">
        <v>270</v>
      </c>
      <c r="J1" s="6" t="s">
        <v>273</v>
      </c>
    </row>
    <row r="2">
      <c r="A2" s="13" t="s">
        <v>277</v>
      </c>
      <c r="B2" s="13" t="s">
        <v>56</v>
      </c>
      <c r="C2" s="13" t="s">
        <v>98</v>
      </c>
      <c r="D2" s="14" t="s">
        <v>71</v>
      </c>
      <c r="E2" s="14" t="s">
        <v>73</v>
      </c>
      <c r="F2" s="16">
        <v>46280.0</v>
      </c>
      <c r="G2" s="14" t="s">
        <v>73</v>
      </c>
      <c r="H2" s="17" t="s">
        <v>313</v>
      </c>
      <c r="I2" s="14"/>
      <c r="J2" s="14"/>
    </row>
    <row r="3">
      <c r="A3" s="14" t="s">
        <v>318</v>
      </c>
      <c r="B3" s="14" t="s">
        <v>105</v>
      </c>
      <c r="C3" s="14" t="s">
        <v>320</v>
      </c>
      <c r="D3" s="14" t="s">
        <v>165</v>
      </c>
      <c r="E3" s="14" t="s">
        <v>73</v>
      </c>
      <c r="F3" s="16">
        <v>46280.0</v>
      </c>
      <c r="G3" s="14" t="s">
        <v>73</v>
      </c>
      <c r="H3" s="19" t="s">
        <v>332</v>
      </c>
      <c r="I3" s="14"/>
      <c r="J3" s="14"/>
    </row>
    <row r="4">
      <c r="A4" s="14" t="s">
        <v>336</v>
      </c>
      <c r="B4" s="14" t="s">
        <v>338</v>
      </c>
      <c r="C4" s="14" t="s">
        <v>340</v>
      </c>
      <c r="D4" s="14" t="s">
        <v>344</v>
      </c>
      <c r="E4" s="14" t="s">
        <v>73</v>
      </c>
      <c r="F4" s="16">
        <v>46280.0</v>
      </c>
      <c r="G4" s="14" t="s">
        <v>73</v>
      </c>
      <c r="H4" s="19" t="s">
        <v>332</v>
      </c>
      <c r="I4" s="14"/>
      <c r="J4" s="14"/>
    </row>
    <row r="5">
      <c r="A5" s="19" t="s">
        <v>349</v>
      </c>
      <c r="B5" s="14"/>
      <c r="C5" s="19" t="s">
        <v>351</v>
      </c>
      <c r="D5" s="19" t="s">
        <v>71</v>
      </c>
      <c r="E5" s="19" t="s">
        <v>73</v>
      </c>
      <c r="F5" s="20">
        <v>46280.0</v>
      </c>
      <c r="G5" s="19" t="s">
        <v>73</v>
      </c>
      <c r="H5" s="19" t="s">
        <v>367</v>
      </c>
      <c r="I5" s="14"/>
      <c r="J5" s="14"/>
    </row>
    <row r="6">
      <c r="A6" s="19" t="s">
        <v>370</v>
      </c>
      <c r="B6" s="19" t="s">
        <v>353</v>
      </c>
      <c r="C6" s="19" t="s">
        <v>379</v>
      </c>
      <c r="D6" s="19" t="s">
        <v>125</v>
      </c>
      <c r="E6" s="19" t="s">
        <v>73</v>
      </c>
      <c r="F6" s="20">
        <v>46280.0</v>
      </c>
      <c r="G6" s="19" t="s">
        <v>73</v>
      </c>
      <c r="H6" s="19" t="s">
        <v>313</v>
      </c>
      <c r="I6" s="14"/>
      <c r="J6" s="14"/>
    </row>
    <row r="7">
      <c r="A7" s="19" t="s">
        <v>390</v>
      </c>
      <c r="B7" s="19" t="s">
        <v>392</v>
      </c>
      <c r="C7" s="19" t="s">
        <v>393</v>
      </c>
      <c r="D7" s="19" t="s">
        <v>71</v>
      </c>
      <c r="E7" s="19" t="s">
        <v>73</v>
      </c>
      <c r="F7" s="20">
        <v>46282.0</v>
      </c>
      <c r="G7" s="19" t="s">
        <v>73</v>
      </c>
      <c r="H7" s="19" t="s">
        <v>399</v>
      </c>
      <c r="I7" s="14"/>
      <c r="J7" s="14"/>
    </row>
    <row r="8">
      <c r="A8" s="19" t="s">
        <v>401</v>
      </c>
      <c r="B8" s="19" t="s">
        <v>392</v>
      </c>
      <c r="C8" s="19" t="s">
        <v>404</v>
      </c>
      <c r="D8" s="19" t="s">
        <v>71</v>
      </c>
      <c r="E8" s="19" t="s">
        <v>73</v>
      </c>
      <c r="F8" s="20">
        <v>46282.0</v>
      </c>
      <c r="G8" s="19" t="s">
        <v>73</v>
      </c>
      <c r="H8" s="19" t="s">
        <v>332</v>
      </c>
      <c r="I8" s="14"/>
      <c r="J8" s="14"/>
    </row>
    <row r="9">
      <c r="A9" s="19" t="s">
        <v>410</v>
      </c>
      <c r="B9" s="14"/>
      <c r="C9" s="19" t="s">
        <v>412</v>
      </c>
      <c r="D9" s="19" t="s">
        <v>344</v>
      </c>
      <c r="E9" s="19" t="s">
        <v>73</v>
      </c>
      <c r="F9" s="20">
        <v>46282.0</v>
      </c>
      <c r="G9" s="19" t="s">
        <v>73</v>
      </c>
      <c r="H9" s="19" t="s">
        <v>332</v>
      </c>
      <c r="I9" s="14"/>
      <c r="J9" s="14"/>
    </row>
    <row r="10">
      <c r="A10" s="19" t="s">
        <v>419</v>
      </c>
      <c r="B10" s="14"/>
      <c r="C10" s="19" t="s">
        <v>421</v>
      </c>
      <c r="D10" s="19" t="s">
        <v>344</v>
      </c>
      <c r="E10" s="19" t="s">
        <v>73</v>
      </c>
      <c r="F10" s="20">
        <v>46282.0</v>
      </c>
      <c r="G10" s="19" t="s">
        <v>73</v>
      </c>
      <c r="H10" s="19" t="s">
        <v>332</v>
      </c>
      <c r="I10" s="14"/>
      <c r="J10" s="14"/>
    </row>
    <row r="11">
      <c r="A11" s="19" t="s">
        <v>428</v>
      </c>
      <c r="B11" s="14"/>
      <c r="C11" s="19" t="s">
        <v>429</v>
      </c>
      <c r="D11" s="19" t="s">
        <v>344</v>
      </c>
      <c r="E11" s="19" t="s">
        <v>73</v>
      </c>
      <c r="F11" s="20">
        <v>46282.0</v>
      </c>
      <c r="G11" s="19" t="s">
        <v>73</v>
      </c>
      <c r="H11" s="19" t="s">
        <v>332</v>
      </c>
      <c r="I11" s="14"/>
      <c r="J11" s="14"/>
    </row>
    <row r="12">
      <c r="A12" s="19" t="s">
        <v>440</v>
      </c>
      <c r="B12" s="19" t="s">
        <v>441</v>
      </c>
      <c r="C12" s="19" t="s">
        <v>443</v>
      </c>
      <c r="D12" s="19" t="s">
        <v>71</v>
      </c>
      <c r="E12" s="19" t="s">
        <v>73</v>
      </c>
      <c r="F12" s="20">
        <v>46282.0</v>
      </c>
      <c r="G12" s="19" t="s">
        <v>73</v>
      </c>
      <c r="H12" s="19" t="s">
        <v>399</v>
      </c>
      <c r="I12" s="14"/>
      <c r="J12" s="14"/>
    </row>
    <row r="13">
      <c r="A13" s="19" t="s">
        <v>453</v>
      </c>
      <c r="B13" s="14"/>
      <c r="C13" s="19" t="s">
        <v>455</v>
      </c>
      <c r="D13" s="19" t="s">
        <v>165</v>
      </c>
      <c r="E13" s="19" t="s">
        <v>73</v>
      </c>
      <c r="F13" s="20">
        <v>46284.0</v>
      </c>
      <c r="G13" s="19" t="s">
        <v>73</v>
      </c>
      <c r="H13" s="19" t="s">
        <v>332</v>
      </c>
      <c r="I13" s="14"/>
      <c r="J13" s="14"/>
    </row>
    <row r="14">
      <c r="A14" s="19" t="s">
        <v>464</v>
      </c>
      <c r="B14" s="14"/>
      <c r="C14" s="19" t="s">
        <v>466</v>
      </c>
      <c r="D14" s="19" t="s">
        <v>344</v>
      </c>
      <c r="E14" s="19" t="s">
        <v>73</v>
      </c>
      <c r="F14" s="20">
        <v>46284.0</v>
      </c>
      <c r="G14" s="19" t="s">
        <v>73</v>
      </c>
      <c r="H14" s="19" t="s">
        <v>313</v>
      </c>
      <c r="I14" s="14"/>
      <c r="J14" s="14"/>
    </row>
    <row r="15">
      <c r="A15" s="19" t="s">
        <v>475</v>
      </c>
      <c r="B15" s="14"/>
      <c r="C15" s="19" t="s">
        <v>479</v>
      </c>
      <c r="D15" s="19" t="s">
        <v>71</v>
      </c>
      <c r="E15" s="19" t="s">
        <v>73</v>
      </c>
      <c r="F15" s="20">
        <v>46284.0</v>
      </c>
      <c r="G15" s="19" t="s">
        <v>73</v>
      </c>
      <c r="H15" s="19" t="s">
        <v>313</v>
      </c>
      <c r="I15" s="14"/>
      <c r="J15" s="14"/>
    </row>
    <row r="16">
      <c r="A16" s="19" t="s">
        <v>487</v>
      </c>
      <c r="B16" s="14"/>
      <c r="C16" s="19" t="s">
        <v>490</v>
      </c>
      <c r="D16" s="19" t="s">
        <v>344</v>
      </c>
      <c r="E16" s="19" t="s">
        <v>454</v>
      </c>
      <c r="F16" s="20">
        <v>46284.0</v>
      </c>
      <c r="G16" s="19" t="s">
        <v>73</v>
      </c>
      <c r="H16" s="19" t="s">
        <v>313</v>
      </c>
      <c r="I16" s="14"/>
      <c r="J16" s="14"/>
    </row>
    <row r="17">
      <c r="A17" s="19" t="s">
        <v>500</v>
      </c>
      <c r="B17" s="14"/>
      <c r="C17" s="19" t="s">
        <v>503</v>
      </c>
      <c r="D17" s="19" t="s">
        <v>71</v>
      </c>
      <c r="E17" s="19" t="s">
        <v>454</v>
      </c>
      <c r="F17" s="20">
        <v>46284.0</v>
      </c>
      <c r="G17" s="19" t="s">
        <v>73</v>
      </c>
      <c r="H17" s="19" t="s">
        <v>313</v>
      </c>
      <c r="I17" s="14"/>
      <c r="J17" s="14"/>
    </row>
    <row r="18">
      <c r="A18" s="19" t="s">
        <v>510</v>
      </c>
      <c r="B18" s="14"/>
      <c r="C18" s="19" t="s">
        <v>513</v>
      </c>
      <c r="D18" s="19" t="s">
        <v>344</v>
      </c>
      <c r="E18" s="19" t="s">
        <v>516</v>
      </c>
      <c r="F18" s="20">
        <v>46284.0</v>
      </c>
      <c r="G18" s="19" t="s">
        <v>73</v>
      </c>
      <c r="H18" s="19" t="s">
        <v>313</v>
      </c>
      <c r="I18" s="14"/>
      <c r="J18" s="14"/>
    </row>
    <row r="19">
      <c r="A19" s="19" t="s">
        <v>520</v>
      </c>
      <c r="B19" s="14"/>
      <c r="C19" s="19" t="s">
        <v>521</v>
      </c>
      <c r="D19" s="19" t="s">
        <v>344</v>
      </c>
      <c r="E19" s="19" t="s">
        <v>454</v>
      </c>
      <c r="F19" s="20">
        <v>46284.0</v>
      </c>
      <c r="G19" s="19" t="s">
        <v>73</v>
      </c>
      <c r="H19" s="19" t="s">
        <v>367</v>
      </c>
      <c r="I19" s="14"/>
      <c r="J19" s="14"/>
    </row>
    <row r="20" ht="15.75" customHeight="1">
      <c r="A20" s="19" t="s">
        <v>526</v>
      </c>
      <c r="B20" s="14"/>
      <c r="C20" s="19" t="s">
        <v>527</v>
      </c>
      <c r="D20" s="19" t="s">
        <v>125</v>
      </c>
      <c r="E20" s="19" t="s">
        <v>454</v>
      </c>
      <c r="F20" s="20">
        <v>46284.0</v>
      </c>
      <c r="G20" s="19" t="s">
        <v>73</v>
      </c>
      <c r="H20" s="19" t="s">
        <v>313</v>
      </c>
      <c r="I20" s="14"/>
      <c r="J20" s="14"/>
    </row>
    <row r="21" ht="15.75" customHeight="1">
      <c r="A21" s="19" t="s">
        <v>534</v>
      </c>
      <c r="B21" s="14"/>
      <c r="C21" s="19" t="s">
        <v>536</v>
      </c>
      <c r="D21" s="19" t="s">
        <v>344</v>
      </c>
      <c r="E21" s="19" t="s">
        <v>454</v>
      </c>
      <c r="F21" s="20">
        <v>46287.0</v>
      </c>
      <c r="G21" s="14"/>
      <c r="H21" s="19" t="s">
        <v>367</v>
      </c>
      <c r="I21" s="14"/>
      <c r="J21" s="14"/>
    </row>
    <row r="22" ht="73.5" customHeight="1">
      <c r="A22" s="19" t="s">
        <v>540</v>
      </c>
      <c r="B22" s="14"/>
      <c r="C22" s="19" t="s">
        <v>541</v>
      </c>
      <c r="D22" s="19" t="s">
        <v>125</v>
      </c>
      <c r="E22" s="19" t="s">
        <v>454</v>
      </c>
      <c r="G22" s="19" t="s">
        <v>73</v>
      </c>
      <c r="H22" s="19" t="s">
        <v>367</v>
      </c>
      <c r="I22" s="14"/>
      <c r="J22" s="14"/>
    </row>
    <row r="23" ht="15.75" customHeight="1">
      <c r="A23" s="19" t="s">
        <v>547</v>
      </c>
      <c r="B23" s="19" t="s">
        <v>548</v>
      </c>
      <c r="C23" s="19" t="s">
        <v>551</v>
      </c>
      <c r="D23" s="19" t="s">
        <v>71</v>
      </c>
      <c r="E23" s="19" t="s">
        <v>516</v>
      </c>
      <c r="F23" s="20">
        <v>46287.0</v>
      </c>
      <c r="G23" s="19" t="s">
        <v>73</v>
      </c>
      <c r="H23" s="19" t="s">
        <v>367</v>
      </c>
      <c r="I23" s="14"/>
      <c r="J23" s="14"/>
    </row>
    <row r="24" ht="15.75" customHeight="1">
      <c r="A24" s="19" t="s">
        <v>553</v>
      </c>
      <c r="B24" s="14"/>
      <c r="C24" s="19" t="s">
        <v>556</v>
      </c>
      <c r="D24" s="19" t="s">
        <v>125</v>
      </c>
      <c r="E24" s="19" t="s">
        <v>454</v>
      </c>
      <c r="F24" s="20">
        <v>46287.0</v>
      </c>
      <c r="G24" s="19" t="s">
        <v>73</v>
      </c>
      <c r="H24" s="19" t="s">
        <v>367</v>
      </c>
      <c r="I24" s="14"/>
      <c r="J24" s="14"/>
    </row>
    <row r="25" ht="15.75" customHeight="1">
      <c r="A25" s="19" t="s">
        <v>558</v>
      </c>
      <c r="B25" s="14"/>
      <c r="C25" s="19" t="s">
        <v>560</v>
      </c>
      <c r="D25" s="19" t="s">
        <v>125</v>
      </c>
      <c r="E25" s="19" t="s">
        <v>454</v>
      </c>
      <c r="F25" s="20">
        <v>46287.0</v>
      </c>
      <c r="G25" s="19" t="s">
        <v>73</v>
      </c>
      <c r="H25" s="19" t="s">
        <v>367</v>
      </c>
      <c r="I25" s="14"/>
      <c r="J25" s="14"/>
    </row>
    <row r="26" ht="15.75" customHeight="1">
      <c r="A26" s="19" t="s">
        <v>565</v>
      </c>
      <c r="B26" s="14"/>
      <c r="C26" s="19" t="s">
        <v>566</v>
      </c>
      <c r="D26" s="19" t="s">
        <v>71</v>
      </c>
      <c r="E26" s="19" t="s">
        <v>454</v>
      </c>
      <c r="F26" s="20">
        <v>46290.0</v>
      </c>
      <c r="G26" s="19" t="s">
        <v>73</v>
      </c>
      <c r="H26" s="19" t="s">
        <v>367</v>
      </c>
      <c r="I26" s="14"/>
      <c r="J26" s="14"/>
    </row>
    <row r="27" ht="15.75" customHeight="1">
      <c r="A27" s="19" t="s">
        <v>572</v>
      </c>
      <c r="B27" s="14"/>
      <c r="C27" s="19" t="s">
        <v>574</v>
      </c>
      <c r="D27" s="19" t="s">
        <v>71</v>
      </c>
      <c r="E27" s="19" t="s">
        <v>516</v>
      </c>
      <c r="F27" s="20">
        <v>46290.0</v>
      </c>
      <c r="G27" s="19" t="s">
        <v>73</v>
      </c>
      <c r="H27" s="19" t="s">
        <v>367</v>
      </c>
      <c r="I27" s="14"/>
      <c r="J27" s="14"/>
    </row>
    <row r="28" ht="15.75" customHeight="1">
      <c r="A28" s="14"/>
      <c r="B28" s="14"/>
      <c r="C28" s="14"/>
      <c r="D28" s="14"/>
      <c r="E28" s="14"/>
      <c r="F28" s="14"/>
      <c r="G28" s="14"/>
      <c r="H28" s="14"/>
      <c r="I28" s="14"/>
      <c r="J28" s="14"/>
    </row>
    <row r="29" ht="15.75" customHeight="1">
      <c r="A29" s="14"/>
      <c r="B29" s="14"/>
      <c r="C29" s="14"/>
      <c r="D29" s="14"/>
      <c r="E29" s="14"/>
      <c r="F29" s="14"/>
      <c r="G29" s="14"/>
      <c r="H29" s="14"/>
      <c r="I29" s="14"/>
      <c r="J29" s="14"/>
    </row>
    <row r="30" ht="15.75" customHeight="1">
      <c r="A30" s="14"/>
      <c r="B30" s="14"/>
      <c r="C30" s="14"/>
      <c r="D30" s="14"/>
      <c r="E30" s="14"/>
      <c r="F30" s="14"/>
      <c r="G30" s="14"/>
      <c r="H30" s="14"/>
      <c r="I30" s="14"/>
      <c r="J30" s="14"/>
    </row>
    <row r="31" ht="15.75" customHeight="1">
      <c r="A31" s="14"/>
      <c r="B31" s="14"/>
      <c r="C31" s="14"/>
      <c r="D31" s="14"/>
      <c r="E31" s="14"/>
      <c r="F31" s="14"/>
      <c r="G31" s="14"/>
      <c r="H31" s="14"/>
      <c r="I31" s="14"/>
      <c r="J31" s="14"/>
    </row>
    <row r="32" ht="15.75" customHeight="1">
      <c r="A32" s="14"/>
      <c r="B32" s="14"/>
      <c r="C32" s="14"/>
      <c r="D32" s="14"/>
      <c r="E32" s="14"/>
      <c r="F32" s="14"/>
      <c r="G32" s="14"/>
      <c r="H32" s="14"/>
      <c r="I32" s="14"/>
      <c r="J32" s="14"/>
    </row>
    <row r="33" ht="15.75" customHeight="1">
      <c r="A33" s="14"/>
      <c r="B33" s="14"/>
      <c r="C33" s="14"/>
      <c r="D33" s="14"/>
      <c r="E33" s="14"/>
      <c r="F33" s="14"/>
      <c r="G33" s="14"/>
      <c r="H33" s="14"/>
      <c r="I33" s="14"/>
      <c r="J33" s="14"/>
    </row>
    <row r="34" ht="15.75" customHeight="1">
      <c r="A34" s="14"/>
      <c r="B34" s="14"/>
      <c r="C34" s="14"/>
      <c r="D34" s="14"/>
      <c r="E34" s="14"/>
      <c r="F34" s="14"/>
      <c r="G34" s="14"/>
      <c r="H34" s="14"/>
      <c r="I34" s="14"/>
      <c r="J34" s="14"/>
    </row>
    <row r="35" ht="15.75" customHeight="1">
      <c r="A35" s="14"/>
      <c r="B35" s="14"/>
      <c r="C35" s="14"/>
      <c r="D35" s="14"/>
      <c r="E35" s="14"/>
      <c r="F35" s="14"/>
      <c r="G35" s="14"/>
      <c r="H35" s="14"/>
      <c r="I35" s="14"/>
      <c r="J35" s="14"/>
    </row>
    <row r="36" ht="15.75" customHeight="1">
      <c r="A36" s="14"/>
      <c r="B36" s="14"/>
      <c r="C36" s="14"/>
      <c r="D36" s="14"/>
      <c r="E36" s="14"/>
      <c r="F36" s="14"/>
      <c r="G36" s="14"/>
      <c r="H36" s="14"/>
      <c r="I36" s="14"/>
      <c r="J36" s="14"/>
    </row>
    <row r="37" ht="15.75" customHeight="1">
      <c r="A37" s="14"/>
      <c r="B37" s="14"/>
      <c r="C37" s="14"/>
      <c r="D37" s="14"/>
      <c r="E37" s="14"/>
      <c r="F37" s="14"/>
      <c r="G37" s="14"/>
      <c r="H37" s="14"/>
      <c r="I37" s="14"/>
      <c r="J37" s="14"/>
    </row>
    <row r="38" ht="15.75" customHeight="1">
      <c r="A38" s="14"/>
      <c r="B38" s="14"/>
      <c r="C38" s="14"/>
      <c r="D38" s="14"/>
      <c r="E38" s="14"/>
      <c r="F38" s="14"/>
      <c r="G38" s="14"/>
      <c r="H38" s="14"/>
      <c r="I38" s="14"/>
      <c r="J38" s="14"/>
    </row>
    <row r="39" ht="15.75" customHeight="1">
      <c r="A39" s="14"/>
      <c r="B39" s="14"/>
      <c r="C39" s="14"/>
      <c r="D39" s="14"/>
      <c r="E39" s="14"/>
      <c r="F39" s="14"/>
      <c r="G39" s="14"/>
      <c r="H39" s="14"/>
      <c r="I39" s="14"/>
      <c r="J39" s="14"/>
    </row>
    <row r="40" ht="15.75" customHeight="1">
      <c r="A40" s="14"/>
      <c r="B40" s="14"/>
      <c r="C40" s="14"/>
      <c r="D40" s="14"/>
      <c r="E40" s="14"/>
      <c r="F40" s="14"/>
      <c r="G40" s="14"/>
      <c r="H40" s="14"/>
      <c r="I40" s="14"/>
      <c r="J40" s="14"/>
    </row>
    <row r="41" ht="15.75" customHeight="1">
      <c r="A41" s="14"/>
      <c r="B41" s="14"/>
      <c r="C41" s="14"/>
      <c r="D41" s="14"/>
      <c r="E41" s="14"/>
      <c r="F41" s="14"/>
      <c r="G41" s="14"/>
      <c r="H41" s="14"/>
      <c r="I41" s="14"/>
      <c r="J41" s="14"/>
    </row>
    <row r="42" ht="15.75" customHeight="1">
      <c r="A42" s="14"/>
      <c r="B42" s="14"/>
      <c r="C42" s="14"/>
      <c r="D42" s="14"/>
      <c r="E42" s="14"/>
      <c r="F42" s="14"/>
      <c r="G42" s="14"/>
      <c r="H42" s="14"/>
      <c r="I42" s="14"/>
      <c r="J42" s="14"/>
    </row>
    <row r="43" ht="15.75" customHeight="1">
      <c r="A43" s="14"/>
      <c r="B43" s="14"/>
      <c r="C43" s="14"/>
      <c r="D43" s="14"/>
      <c r="E43" s="14"/>
      <c r="F43" s="14"/>
      <c r="G43" s="14"/>
      <c r="H43" s="14"/>
      <c r="I43" s="14"/>
      <c r="J43" s="14"/>
    </row>
    <row r="44" ht="15.75" customHeight="1">
      <c r="A44" s="14"/>
      <c r="B44" s="14"/>
      <c r="C44" s="14"/>
      <c r="D44" s="14"/>
      <c r="E44" s="14"/>
      <c r="F44" s="14"/>
      <c r="G44" s="14"/>
      <c r="H44" s="14"/>
      <c r="I44" s="14"/>
      <c r="J44" s="14"/>
    </row>
    <row r="45" ht="15.75" customHeight="1">
      <c r="A45" s="14"/>
      <c r="B45" s="14"/>
      <c r="C45" s="14"/>
      <c r="D45" s="14"/>
      <c r="E45" s="14"/>
      <c r="F45" s="14"/>
      <c r="G45" s="14"/>
      <c r="H45" s="14"/>
      <c r="I45" s="14"/>
      <c r="J45" s="14"/>
    </row>
    <row r="46" ht="15.75" customHeight="1">
      <c r="A46" s="14"/>
      <c r="B46" s="14"/>
      <c r="C46" s="14"/>
      <c r="D46" s="14"/>
      <c r="E46" s="14"/>
      <c r="F46" s="14"/>
      <c r="G46" s="14"/>
      <c r="H46" s="14"/>
      <c r="I46" s="14"/>
      <c r="J46" s="14"/>
    </row>
    <row r="47" ht="15.75" customHeight="1">
      <c r="A47" s="14"/>
      <c r="B47" s="14"/>
      <c r="C47" s="14"/>
      <c r="D47" s="14"/>
      <c r="E47" s="14"/>
      <c r="F47" s="14"/>
      <c r="G47" s="14"/>
      <c r="H47" s="14"/>
      <c r="I47" s="14"/>
      <c r="J47" s="14"/>
    </row>
    <row r="48" ht="15.75" customHeight="1">
      <c r="A48" s="14"/>
      <c r="B48" s="14"/>
      <c r="C48" s="14"/>
      <c r="D48" s="14"/>
      <c r="E48" s="14"/>
      <c r="F48" s="14"/>
      <c r="G48" s="14"/>
      <c r="H48" s="14"/>
      <c r="I48" s="14"/>
      <c r="J48" s="14"/>
    </row>
    <row r="49" ht="15.75" customHeight="1">
      <c r="A49" s="14"/>
      <c r="B49" s="14"/>
      <c r="C49" s="14"/>
      <c r="D49" s="14"/>
      <c r="E49" s="14"/>
      <c r="F49" s="14"/>
      <c r="G49" s="14"/>
      <c r="H49" s="14"/>
      <c r="I49" s="14"/>
      <c r="J49" s="14"/>
    </row>
    <row r="50" ht="15.75" customHeight="1">
      <c r="A50" s="14"/>
      <c r="B50" s="14"/>
      <c r="C50" s="14"/>
      <c r="D50" s="14"/>
      <c r="E50" s="14"/>
      <c r="F50" s="14"/>
      <c r="G50" s="14"/>
      <c r="H50" s="14"/>
      <c r="I50" s="14"/>
      <c r="J50" s="14"/>
    </row>
    <row r="51" ht="15.75" customHeight="1">
      <c r="A51" s="14"/>
      <c r="B51" s="14"/>
      <c r="C51" s="14"/>
      <c r="D51" s="14"/>
      <c r="E51" s="14"/>
      <c r="F51" s="14"/>
      <c r="G51" s="14"/>
      <c r="H51" s="14"/>
      <c r="I51" s="14"/>
      <c r="J51" s="14"/>
    </row>
    <row r="52" ht="15.75" customHeight="1">
      <c r="A52" s="14"/>
      <c r="B52" s="14"/>
      <c r="C52" s="14"/>
      <c r="D52" s="14"/>
      <c r="E52" s="14"/>
      <c r="F52" s="14"/>
      <c r="G52" s="14"/>
      <c r="H52" s="14"/>
      <c r="I52" s="14"/>
      <c r="J52" s="14"/>
    </row>
    <row r="53" ht="15.75" customHeight="1">
      <c r="A53" s="14"/>
      <c r="B53" s="14"/>
      <c r="C53" s="14"/>
      <c r="D53" s="14"/>
      <c r="E53" s="14"/>
      <c r="F53" s="14"/>
      <c r="G53" s="14"/>
      <c r="H53" s="14"/>
      <c r="I53" s="14"/>
      <c r="J53" s="14"/>
    </row>
    <row r="54" ht="15.75" customHeight="1">
      <c r="A54" s="14"/>
      <c r="B54" s="14"/>
      <c r="C54" s="14"/>
      <c r="D54" s="14"/>
      <c r="E54" s="14"/>
      <c r="F54" s="14"/>
      <c r="G54" s="14"/>
      <c r="H54" s="14"/>
      <c r="I54" s="14"/>
      <c r="J54" s="14"/>
    </row>
    <row r="55" ht="15.75" customHeight="1">
      <c r="A55" s="14"/>
      <c r="B55" s="14"/>
      <c r="C55" s="14"/>
      <c r="D55" s="14"/>
      <c r="E55" s="14"/>
      <c r="F55" s="14"/>
      <c r="G55" s="14"/>
      <c r="H55" s="14"/>
      <c r="I55" s="14"/>
      <c r="J55" s="14"/>
    </row>
    <row r="56" ht="15.75" customHeight="1">
      <c r="A56" s="14"/>
      <c r="B56" s="14"/>
      <c r="C56" s="14"/>
      <c r="D56" s="14"/>
      <c r="E56" s="14"/>
      <c r="F56" s="14"/>
      <c r="G56" s="14"/>
      <c r="H56" s="14"/>
      <c r="I56" s="14"/>
      <c r="J56" s="14"/>
    </row>
    <row r="57" ht="15.75" customHeight="1">
      <c r="A57" s="14"/>
      <c r="B57" s="14"/>
      <c r="C57" s="14"/>
      <c r="D57" s="14"/>
      <c r="E57" s="14"/>
      <c r="F57" s="14"/>
      <c r="G57" s="14"/>
      <c r="H57" s="14"/>
      <c r="I57" s="14"/>
      <c r="J57" s="14"/>
    </row>
    <row r="58" ht="15.75" customHeight="1">
      <c r="A58" s="14"/>
      <c r="B58" s="14"/>
      <c r="C58" s="14"/>
      <c r="D58" s="14"/>
      <c r="E58" s="14"/>
      <c r="F58" s="14"/>
      <c r="G58" s="14"/>
      <c r="H58" s="14"/>
      <c r="I58" s="14"/>
      <c r="J58" s="14"/>
    </row>
    <row r="59" ht="15.75" customHeight="1">
      <c r="A59" s="14"/>
      <c r="B59" s="14"/>
      <c r="C59" s="14"/>
      <c r="D59" s="14"/>
      <c r="E59" s="14"/>
      <c r="F59" s="14"/>
      <c r="G59" s="14"/>
      <c r="H59" s="14"/>
      <c r="I59" s="14"/>
      <c r="J59" s="14"/>
    </row>
    <row r="60" ht="15.75" customHeight="1">
      <c r="A60" s="14"/>
      <c r="B60" s="14"/>
      <c r="C60" s="14"/>
      <c r="D60" s="14"/>
      <c r="E60" s="14"/>
      <c r="F60" s="14"/>
      <c r="G60" s="14"/>
      <c r="H60" s="14"/>
      <c r="I60" s="14"/>
      <c r="J60" s="14"/>
    </row>
    <row r="61" ht="15.75" customHeight="1">
      <c r="A61" s="14"/>
      <c r="B61" s="14"/>
      <c r="C61" s="14"/>
      <c r="D61" s="14"/>
      <c r="E61" s="14"/>
      <c r="F61" s="14"/>
      <c r="G61" s="14"/>
      <c r="H61" s="14"/>
      <c r="I61" s="14"/>
      <c r="J61" s="14"/>
    </row>
    <row r="62" ht="15.75" customHeight="1">
      <c r="A62" s="14"/>
      <c r="B62" s="14"/>
      <c r="C62" s="14"/>
      <c r="D62" s="14"/>
      <c r="E62" s="14"/>
      <c r="F62" s="14"/>
      <c r="G62" s="14"/>
      <c r="H62" s="14"/>
      <c r="I62" s="14"/>
      <c r="J62" s="14"/>
    </row>
    <row r="63" ht="15.75" customHeight="1">
      <c r="A63" s="14"/>
      <c r="B63" s="14"/>
      <c r="C63" s="14"/>
      <c r="D63" s="14"/>
      <c r="E63" s="14"/>
      <c r="F63" s="14"/>
      <c r="G63" s="14"/>
      <c r="H63" s="14"/>
      <c r="I63" s="14"/>
      <c r="J63" s="14"/>
    </row>
    <row r="64" ht="15.75" customHeight="1">
      <c r="A64" s="14"/>
      <c r="B64" s="14"/>
      <c r="C64" s="14"/>
      <c r="D64" s="14"/>
      <c r="E64" s="14"/>
      <c r="F64" s="14"/>
      <c r="G64" s="14"/>
      <c r="H64" s="14"/>
      <c r="I64" s="14"/>
      <c r="J64" s="14"/>
    </row>
    <row r="65" ht="15.75" customHeight="1">
      <c r="A65" s="14"/>
      <c r="B65" s="14"/>
      <c r="C65" s="14"/>
      <c r="D65" s="14"/>
      <c r="E65" s="14"/>
      <c r="F65" s="14"/>
      <c r="G65" s="14"/>
      <c r="H65" s="14"/>
      <c r="I65" s="14"/>
      <c r="J65" s="14"/>
    </row>
    <row r="66" ht="15.75" customHeight="1">
      <c r="A66" s="14"/>
      <c r="B66" s="14"/>
      <c r="C66" s="14"/>
      <c r="D66" s="14"/>
      <c r="E66" s="14"/>
      <c r="F66" s="14"/>
      <c r="G66" s="14"/>
      <c r="H66" s="14"/>
      <c r="I66" s="14"/>
      <c r="J66" s="14"/>
    </row>
    <row r="67" ht="15.75" customHeight="1">
      <c r="A67" s="14"/>
      <c r="B67" s="14"/>
      <c r="C67" s="14"/>
      <c r="D67" s="14"/>
      <c r="E67" s="14"/>
      <c r="F67" s="14"/>
      <c r="G67" s="14"/>
      <c r="H67" s="14"/>
      <c r="I67" s="14"/>
      <c r="J67" s="14"/>
    </row>
    <row r="68" ht="15.75" customHeight="1">
      <c r="A68" s="14"/>
      <c r="B68" s="14"/>
      <c r="C68" s="14"/>
      <c r="D68" s="14"/>
      <c r="E68" s="14"/>
      <c r="F68" s="14"/>
      <c r="G68" s="14"/>
      <c r="H68" s="14"/>
      <c r="I68" s="14"/>
      <c r="J68" s="14"/>
    </row>
    <row r="69" ht="15.75" customHeight="1">
      <c r="A69" s="14"/>
      <c r="B69" s="14"/>
      <c r="C69" s="14"/>
      <c r="D69" s="14"/>
      <c r="E69" s="14"/>
      <c r="F69" s="14"/>
      <c r="G69" s="14"/>
      <c r="H69" s="14"/>
      <c r="I69" s="14"/>
      <c r="J69" s="14"/>
    </row>
    <row r="70" ht="15.75" customHeight="1">
      <c r="A70" s="14"/>
      <c r="B70" s="14"/>
      <c r="C70" s="14"/>
      <c r="D70" s="14"/>
      <c r="E70" s="14"/>
      <c r="F70" s="14"/>
      <c r="G70" s="14"/>
      <c r="H70" s="14"/>
      <c r="I70" s="14"/>
      <c r="J70" s="14"/>
    </row>
    <row r="71" ht="15.75" customHeight="1">
      <c r="A71" s="14"/>
      <c r="B71" s="14"/>
      <c r="C71" s="14"/>
      <c r="D71" s="14"/>
      <c r="E71" s="14"/>
      <c r="F71" s="14"/>
      <c r="G71" s="14"/>
      <c r="H71" s="14"/>
      <c r="I71" s="14"/>
      <c r="J71" s="14"/>
    </row>
    <row r="72" ht="15.75" customHeight="1">
      <c r="A72" s="14"/>
      <c r="B72" s="14"/>
      <c r="C72" s="14"/>
      <c r="D72" s="14"/>
      <c r="E72" s="14"/>
      <c r="F72" s="14"/>
      <c r="G72" s="14"/>
      <c r="H72" s="14"/>
      <c r="I72" s="14"/>
      <c r="J72" s="14"/>
    </row>
    <row r="73" ht="15.75" customHeight="1">
      <c r="A73" s="14"/>
      <c r="B73" s="14"/>
      <c r="C73" s="14"/>
      <c r="D73" s="14"/>
      <c r="E73" s="14"/>
      <c r="F73" s="14"/>
      <c r="G73" s="14"/>
      <c r="H73" s="14"/>
      <c r="I73" s="14"/>
      <c r="J73" s="14"/>
    </row>
    <row r="74" ht="15.75" customHeight="1">
      <c r="A74" s="14"/>
      <c r="B74" s="14"/>
      <c r="C74" s="14"/>
      <c r="D74" s="14"/>
      <c r="E74" s="14"/>
      <c r="F74" s="14"/>
      <c r="G74" s="14"/>
      <c r="H74" s="14"/>
      <c r="I74" s="14"/>
      <c r="J74" s="14"/>
    </row>
    <row r="75" ht="15.75" customHeight="1">
      <c r="A75" s="14"/>
      <c r="B75" s="14"/>
      <c r="C75" s="14"/>
      <c r="D75" s="14"/>
      <c r="E75" s="14"/>
      <c r="F75" s="14"/>
      <c r="G75" s="14"/>
      <c r="H75" s="14"/>
      <c r="I75" s="14"/>
      <c r="J75" s="14"/>
    </row>
    <row r="76" ht="15.75" customHeight="1">
      <c r="A76" s="14"/>
      <c r="B76" s="14"/>
      <c r="C76" s="14"/>
      <c r="D76" s="14"/>
      <c r="E76" s="14"/>
      <c r="F76" s="14"/>
      <c r="G76" s="14"/>
      <c r="H76" s="14"/>
      <c r="I76" s="14"/>
      <c r="J76" s="14"/>
    </row>
    <row r="77" ht="15.75" customHeight="1">
      <c r="A77" s="14"/>
      <c r="B77" s="14"/>
      <c r="C77" s="14"/>
      <c r="D77" s="14"/>
      <c r="E77" s="14"/>
      <c r="F77" s="14"/>
      <c r="G77" s="14"/>
      <c r="H77" s="14"/>
      <c r="I77" s="14"/>
      <c r="J77" s="14"/>
    </row>
    <row r="78" ht="15.75" customHeight="1">
      <c r="A78" s="14"/>
      <c r="B78" s="14"/>
      <c r="C78" s="14"/>
      <c r="D78" s="14"/>
      <c r="E78" s="14"/>
      <c r="F78" s="14"/>
      <c r="G78" s="14"/>
      <c r="H78" s="14"/>
      <c r="I78" s="14"/>
      <c r="J78" s="14"/>
    </row>
    <row r="79" ht="15.75" customHeight="1">
      <c r="A79" s="14"/>
      <c r="B79" s="14"/>
      <c r="C79" s="14"/>
      <c r="D79" s="14"/>
      <c r="E79" s="14"/>
      <c r="F79" s="14"/>
      <c r="G79" s="14"/>
      <c r="H79" s="14"/>
      <c r="I79" s="14"/>
      <c r="J79" s="14"/>
    </row>
    <row r="80" ht="15.75" customHeight="1">
      <c r="A80" s="14"/>
      <c r="B80" s="14"/>
      <c r="C80" s="14"/>
      <c r="D80" s="14"/>
      <c r="E80" s="14"/>
      <c r="F80" s="14"/>
      <c r="G80" s="14"/>
      <c r="H80" s="14"/>
      <c r="I80" s="14"/>
      <c r="J80" s="14"/>
    </row>
    <row r="81" ht="15.75" customHeight="1">
      <c r="A81" s="14"/>
      <c r="B81" s="14"/>
      <c r="C81" s="14"/>
      <c r="D81" s="14"/>
      <c r="E81" s="14"/>
      <c r="F81" s="14"/>
      <c r="G81" s="14"/>
      <c r="H81" s="14"/>
      <c r="I81" s="14"/>
      <c r="J81" s="14"/>
    </row>
    <row r="82" ht="15.75" customHeight="1">
      <c r="A82" s="14"/>
      <c r="B82" s="14"/>
      <c r="C82" s="14"/>
      <c r="D82" s="14"/>
      <c r="E82" s="14"/>
      <c r="F82" s="14"/>
      <c r="G82" s="14"/>
      <c r="H82" s="14"/>
      <c r="I82" s="14"/>
      <c r="J82" s="14"/>
    </row>
    <row r="83" ht="15.75" customHeight="1">
      <c r="A83" s="14"/>
      <c r="B83" s="14"/>
      <c r="C83" s="14"/>
      <c r="D83" s="14"/>
      <c r="E83" s="14"/>
      <c r="F83" s="14"/>
      <c r="G83" s="14"/>
      <c r="H83" s="14"/>
      <c r="I83" s="14"/>
      <c r="J83" s="14"/>
    </row>
    <row r="84" ht="15.75" customHeight="1">
      <c r="A84" s="14"/>
      <c r="B84" s="14"/>
      <c r="C84" s="14"/>
      <c r="D84" s="14"/>
      <c r="E84" s="14"/>
      <c r="F84" s="14"/>
      <c r="G84" s="14"/>
      <c r="H84" s="14"/>
      <c r="I84" s="14"/>
      <c r="J84" s="14"/>
    </row>
    <row r="85" ht="15.75" customHeight="1">
      <c r="A85" s="14"/>
      <c r="B85" s="14"/>
      <c r="C85" s="14"/>
      <c r="D85" s="14"/>
      <c r="E85" s="14"/>
      <c r="F85" s="14"/>
      <c r="G85" s="14"/>
      <c r="H85" s="14"/>
      <c r="I85" s="14"/>
      <c r="J85" s="14"/>
    </row>
    <row r="86" ht="15.75" customHeight="1">
      <c r="A86" s="14"/>
      <c r="B86" s="14"/>
      <c r="C86" s="14"/>
      <c r="D86" s="14"/>
      <c r="E86" s="14"/>
      <c r="F86" s="14"/>
      <c r="G86" s="14"/>
      <c r="H86" s="14"/>
      <c r="I86" s="14"/>
      <c r="J86" s="14"/>
    </row>
    <row r="87" ht="15.75" customHeight="1">
      <c r="A87" s="14"/>
      <c r="B87" s="14"/>
      <c r="C87" s="14"/>
      <c r="D87" s="14"/>
      <c r="E87" s="14"/>
      <c r="F87" s="14"/>
      <c r="G87" s="14"/>
      <c r="H87" s="14"/>
      <c r="I87" s="14"/>
      <c r="J87" s="14"/>
    </row>
    <row r="88" ht="15.75" customHeight="1">
      <c r="A88" s="14"/>
      <c r="B88" s="14"/>
      <c r="C88" s="14"/>
      <c r="D88" s="14"/>
      <c r="E88" s="14"/>
      <c r="F88" s="14"/>
      <c r="G88" s="14"/>
      <c r="H88" s="14"/>
      <c r="I88" s="14"/>
      <c r="J88" s="14"/>
    </row>
    <row r="89" ht="15.75" customHeight="1">
      <c r="A89" s="14"/>
      <c r="B89" s="14"/>
      <c r="C89" s="14"/>
      <c r="D89" s="14"/>
      <c r="E89" s="14"/>
      <c r="F89" s="14"/>
      <c r="G89" s="14"/>
      <c r="H89" s="14"/>
      <c r="I89" s="14"/>
      <c r="J89" s="14"/>
    </row>
    <row r="90" ht="15.75" customHeight="1">
      <c r="A90" s="14"/>
      <c r="B90" s="14"/>
      <c r="C90" s="14"/>
      <c r="D90" s="14"/>
      <c r="E90" s="14"/>
      <c r="F90" s="14"/>
      <c r="G90" s="14"/>
      <c r="H90" s="14"/>
      <c r="I90" s="14"/>
      <c r="J90" s="14"/>
    </row>
    <row r="91" ht="15.75" customHeight="1">
      <c r="A91" s="14"/>
      <c r="B91" s="14"/>
      <c r="C91" s="14"/>
      <c r="D91" s="14"/>
      <c r="E91" s="14"/>
      <c r="F91" s="14"/>
      <c r="G91" s="14"/>
      <c r="H91" s="14"/>
      <c r="I91" s="14"/>
      <c r="J91" s="14"/>
    </row>
    <row r="92" ht="15.75" customHeight="1">
      <c r="A92" s="14"/>
      <c r="B92" s="14"/>
      <c r="C92" s="14"/>
      <c r="D92" s="14"/>
      <c r="E92" s="14"/>
      <c r="F92" s="14"/>
      <c r="G92" s="14"/>
      <c r="H92" s="14"/>
      <c r="I92" s="14"/>
      <c r="J92" s="14"/>
    </row>
    <row r="93" ht="15.75" customHeight="1">
      <c r="A93" s="14"/>
      <c r="B93" s="14"/>
      <c r="C93" s="14"/>
      <c r="D93" s="14"/>
      <c r="E93" s="14"/>
      <c r="F93" s="14"/>
      <c r="G93" s="14"/>
      <c r="H93" s="14"/>
      <c r="I93" s="14"/>
      <c r="J93" s="14"/>
    </row>
    <row r="94" ht="15.75" customHeight="1">
      <c r="A94" s="14"/>
      <c r="B94" s="14"/>
      <c r="C94" s="14"/>
      <c r="D94" s="14"/>
      <c r="E94" s="14"/>
      <c r="F94" s="14"/>
      <c r="G94" s="14"/>
      <c r="H94" s="14"/>
      <c r="I94" s="14"/>
      <c r="J94" s="14"/>
    </row>
    <row r="95" ht="15.75" customHeight="1">
      <c r="A95" s="14"/>
      <c r="B95" s="14"/>
      <c r="C95" s="14"/>
      <c r="D95" s="14"/>
      <c r="E95" s="14"/>
      <c r="F95" s="14"/>
      <c r="G95" s="14"/>
      <c r="H95" s="14"/>
      <c r="I95" s="14"/>
      <c r="J95" s="14"/>
    </row>
    <row r="96" ht="15.75" customHeight="1">
      <c r="A96" s="14"/>
      <c r="B96" s="14"/>
      <c r="C96" s="14"/>
      <c r="D96" s="14"/>
      <c r="E96" s="14"/>
      <c r="F96" s="14"/>
      <c r="G96" s="14"/>
      <c r="H96" s="14"/>
      <c r="I96" s="14"/>
      <c r="J96" s="14"/>
    </row>
    <row r="97" ht="15.75" customHeight="1">
      <c r="A97" s="14"/>
      <c r="B97" s="14"/>
      <c r="C97" s="14"/>
      <c r="D97" s="14"/>
      <c r="E97" s="14"/>
      <c r="F97" s="14"/>
      <c r="G97" s="14"/>
      <c r="H97" s="14"/>
      <c r="I97" s="14"/>
      <c r="J97" s="14"/>
    </row>
    <row r="98" ht="15.75" customHeight="1">
      <c r="A98" s="14"/>
      <c r="B98" s="14"/>
      <c r="C98" s="14"/>
      <c r="D98" s="14"/>
      <c r="E98" s="14"/>
      <c r="F98" s="14"/>
      <c r="G98" s="14"/>
      <c r="H98" s="14"/>
      <c r="I98" s="14"/>
      <c r="J98" s="14"/>
    </row>
    <row r="99" ht="15.75" customHeight="1">
      <c r="A99" s="14"/>
      <c r="B99" s="14"/>
      <c r="C99" s="14"/>
      <c r="D99" s="14"/>
      <c r="E99" s="14"/>
      <c r="F99" s="14"/>
      <c r="G99" s="14"/>
      <c r="H99" s="14"/>
      <c r="I99" s="14"/>
      <c r="J99" s="14"/>
    </row>
    <row r="100" ht="15.75" customHeight="1">
      <c r="A100" s="14"/>
      <c r="B100" s="14"/>
      <c r="C100" s="14"/>
      <c r="D100" s="14"/>
      <c r="E100" s="14"/>
      <c r="F100" s="14"/>
      <c r="G100" s="14"/>
      <c r="H100" s="14"/>
      <c r="I100" s="14"/>
      <c r="J100" s="14"/>
    </row>
    <row r="101" ht="15.75" customHeight="1">
      <c r="A101" s="14"/>
      <c r="B101" s="14"/>
      <c r="C101" s="14"/>
      <c r="D101" s="14"/>
      <c r="E101" s="14"/>
      <c r="F101" s="14"/>
      <c r="G101" s="14"/>
      <c r="H101" s="14"/>
      <c r="I101" s="14"/>
      <c r="J101" s="14"/>
    </row>
    <row r="102" ht="15.75" customHeight="1">
      <c r="A102" s="14"/>
      <c r="B102" s="14"/>
      <c r="C102" s="14"/>
      <c r="D102" s="14"/>
      <c r="E102" s="14"/>
      <c r="F102" s="14"/>
      <c r="G102" s="14"/>
      <c r="H102" s="14"/>
      <c r="I102" s="14"/>
      <c r="J102" s="14"/>
    </row>
    <row r="103" ht="15.75" customHeight="1">
      <c r="A103" s="14"/>
      <c r="B103" s="14"/>
      <c r="C103" s="14"/>
      <c r="D103" s="14"/>
      <c r="E103" s="14"/>
      <c r="F103" s="14"/>
      <c r="G103" s="14"/>
      <c r="H103" s="14"/>
      <c r="I103" s="14"/>
      <c r="J103" s="14"/>
    </row>
    <row r="104" ht="15.75" customHeight="1">
      <c r="A104" s="14"/>
      <c r="B104" s="14"/>
      <c r="C104" s="14"/>
      <c r="D104" s="14"/>
      <c r="E104" s="14"/>
      <c r="F104" s="14"/>
      <c r="G104" s="14"/>
      <c r="H104" s="14"/>
      <c r="I104" s="14"/>
      <c r="J104" s="14"/>
    </row>
    <row r="105" ht="15.75" customHeight="1">
      <c r="A105" s="14"/>
      <c r="B105" s="14"/>
      <c r="C105" s="14"/>
      <c r="D105" s="14"/>
      <c r="E105" s="14"/>
      <c r="F105" s="14"/>
      <c r="G105" s="14"/>
      <c r="H105" s="14"/>
      <c r="I105" s="14"/>
      <c r="J105" s="14"/>
    </row>
    <row r="106" ht="15.75" customHeight="1">
      <c r="A106" s="14"/>
      <c r="B106" s="14"/>
      <c r="C106" s="14"/>
      <c r="D106" s="14"/>
      <c r="E106" s="14"/>
      <c r="F106" s="14"/>
      <c r="G106" s="14"/>
      <c r="H106" s="14"/>
      <c r="I106" s="14"/>
      <c r="J106" s="14"/>
    </row>
    <row r="107" ht="15.75" customHeight="1">
      <c r="A107" s="14"/>
      <c r="B107" s="14"/>
      <c r="C107" s="14"/>
      <c r="D107" s="14"/>
      <c r="E107" s="14"/>
      <c r="F107" s="14"/>
      <c r="G107" s="14"/>
      <c r="H107" s="14"/>
      <c r="I107" s="14"/>
      <c r="J107" s="14"/>
    </row>
    <row r="108" ht="15.75" customHeight="1">
      <c r="A108" s="14"/>
      <c r="B108" s="14"/>
      <c r="C108" s="14"/>
      <c r="D108" s="14"/>
      <c r="E108" s="14"/>
      <c r="F108" s="14"/>
      <c r="G108" s="14"/>
      <c r="H108" s="14"/>
      <c r="I108" s="14"/>
      <c r="J108" s="14"/>
    </row>
    <row r="109" ht="15.75" customHeight="1">
      <c r="A109" s="14"/>
      <c r="B109" s="14"/>
      <c r="C109" s="14"/>
      <c r="D109" s="14"/>
      <c r="E109" s="14"/>
      <c r="F109" s="14"/>
      <c r="G109" s="14"/>
      <c r="H109" s="14"/>
      <c r="I109" s="14"/>
      <c r="J109" s="14"/>
    </row>
    <row r="110" ht="15.75" customHeight="1">
      <c r="A110" s="14"/>
      <c r="B110" s="14"/>
      <c r="C110" s="14"/>
      <c r="D110" s="14"/>
      <c r="E110" s="14"/>
      <c r="F110" s="14"/>
      <c r="G110" s="14"/>
      <c r="H110" s="14"/>
      <c r="I110" s="14"/>
      <c r="J110" s="14"/>
    </row>
    <row r="111" ht="15.75" customHeight="1">
      <c r="A111" s="14"/>
      <c r="B111" s="14"/>
      <c r="C111" s="14"/>
      <c r="D111" s="14"/>
      <c r="E111" s="14"/>
      <c r="F111" s="14"/>
      <c r="G111" s="14"/>
      <c r="H111" s="14"/>
      <c r="I111" s="14"/>
      <c r="J111" s="14"/>
    </row>
    <row r="112" ht="15.75" customHeight="1">
      <c r="A112" s="14"/>
      <c r="B112" s="14"/>
      <c r="C112" s="14"/>
      <c r="D112" s="14"/>
      <c r="E112" s="14"/>
      <c r="F112" s="14"/>
      <c r="G112" s="14"/>
      <c r="H112" s="14"/>
      <c r="I112" s="14"/>
      <c r="J112" s="14"/>
    </row>
    <row r="113" ht="15.75" customHeight="1">
      <c r="A113" s="14"/>
      <c r="B113" s="14"/>
      <c r="C113" s="14"/>
      <c r="D113" s="14"/>
      <c r="E113" s="14"/>
      <c r="F113" s="14"/>
      <c r="G113" s="14"/>
      <c r="H113" s="14"/>
      <c r="I113" s="14"/>
      <c r="J113" s="14"/>
    </row>
    <row r="114" ht="15.75" customHeight="1">
      <c r="A114" s="14"/>
      <c r="B114" s="14"/>
      <c r="C114" s="14"/>
      <c r="D114" s="14"/>
      <c r="E114" s="14"/>
      <c r="F114" s="14"/>
      <c r="G114" s="14"/>
      <c r="H114" s="14"/>
      <c r="I114" s="14"/>
      <c r="J114" s="14"/>
    </row>
    <row r="115" ht="15.75" customHeight="1">
      <c r="A115" s="14"/>
      <c r="B115" s="14"/>
      <c r="C115" s="14"/>
      <c r="D115" s="14"/>
      <c r="E115" s="14"/>
      <c r="F115" s="14"/>
      <c r="G115" s="14"/>
      <c r="H115" s="14"/>
      <c r="I115" s="14"/>
      <c r="J115" s="14"/>
    </row>
    <row r="116" ht="15.75" customHeight="1">
      <c r="A116" s="14"/>
      <c r="B116" s="14"/>
      <c r="C116" s="14"/>
      <c r="D116" s="14"/>
      <c r="E116" s="14"/>
      <c r="F116" s="14"/>
      <c r="G116" s="14"/>
      <c r="H116" s="14"/>
      <c r="I116" s="14"/>
      <c r="J116" s="14"/>
    </row>
    <row r="117" ht="15.75" customHeight="1">
      <c r="A117" s="14"/>
      <c r="B117" s="14"/>
      <c r="C117" s="14"/>
      <c r="D117" s="14"/>
      <c r="E117" s="14"/>
      <c r="F117" s="14"/>
      <c r="G117" s="14"/>
      <c r="H117" s="14"/>
      <c r="I117" s="14"/>
      <c r="J117" s="14"/>
    </row>
    <row r="118" ht="15.75" customHeight="1">
      <c r="A118" s="14"/>
      <c r="B118" s="14"/>
      <c r="C118" s="14"/>
      <c r="D118" s="14"/>
      <c r="E118" s="14"/>
      <c r="F118" s="14"/>
      <c r="G118" s="14"/>
      <c r="H118" s="14"/>
      <c r="I118" s="14"/>
      <c r="J118" s="14"/>
    </row>
    <row r="119" ht="15.75" customHeight="1">
      <c r="A119" s="14"/>
      <c r="B119" s="14"/>
      <c r="C119" s="14"/>
      <c r="D119" s="14"/>
      <c r="E119" s="14"/>
      <c r="F119" s="14"/>
      <c r="G119" s="14"/>
      <c r="H119" s="14"/>
      <c r="I119" s="14"/>
      <c r="J119" s="14"/>
    </row>
    <row r="120" ht="15.75" customHeight="1">
      <c r="A120" s="14"/>
      <c r="B120" s="14"/>
      <c r="C120" s="14"/>
      <c r="D120" s="14"/>
      <c r="E120" s="14"/>
      <c r="F120" s="14"/>
      <c r="G120" s="14"/>
      <c r="H120" s="14"/>
      <c r="I120" s="14"/>
      <c r="J120" s="14"/>
    </row>
    <row r="121" ht="15.75" customHeight="1">
      <c r="A121" s="14"/>
      <c r="B121" s="14"/>
      <c r="C121" s="14"/>
      <c r="D121" s="14"/>
      <c r="E121" s="14"/>
      <c r="F121" s="14"/>
      <c r="G121" s="14"/>
      <c r="H121" s="14"/>
      <c r="I121" s="14"/>
      <c r="J121" s="14"/>
    </row>
    <row r="122" ht="15.75" customHeight="1">
      <c r="A122" s="14"/>
      <c r="B122" s="14"/>
      <c r="C122" s="14"/>
      <c r="D122" s="14"/>
      <c r="E122" s="14"/>
      <c r="F122" s="14"/>
      <c r="G122" s="14"/>
      <c r="H122" s="14"/>
      <c r="I122" s="14"/>
      <c r="J122" s="14"/>
    </row>
    <row r="123" ht="15.75" customHeight="1">
      <c r="A123" s="14"/>
      <c r="B123" s="14"/>
      <c r="C123" s="14"/>
      <c r="D123" s="14"/>
      <c r="E123" s="14"/>
      <c r="F123" s="14"/>
      <c r="G123" s="14"/>
      <c r="H123" s="14"/>
      <c r="I123" s="14"/>
      <c r="J123" s="14"/>
    </row>
    <row r="124" ht="15.75" customHeight="1">
      <c r="A124" s="14"/>
      <c r="B124" s="14"/>
      <c r="C124" s="14"/>
      <c r="D124" s="14"/>
      <c r="E124" s="14"/>
      <c r="F124" s="14"/>
      <c r="G124" s="14"/>
      <c r="H124" s="14"/>
      <c r="I124" s="14"/>
      <c r="J124" s="14"/>
    </row>
    <row r="125" ht="15.75" customHeight="1">
      <c r="A125" s="14"/>
      <c r="B125" s="14"/>
      <c r="C125" s="14"/>
      <c r="D125" s="14"/>
      <c r="E125" s="14"/>
      <c r="F125" s="14"/>
      <c r="G125" s="14"/>
      <c r="H125" s="14"/>
      <c r="I125" s="14"/>
      <c r="J125" s="14"/>
    </row>
    <row r="126" ht="15.75" customHeight="1">
      <c r="A126" s="14"/>
      <c r="B126" s="14"/>
      <c r="C126" s="14"/>
      <c r="D126" s="14"/>
      <c r="E126" s="14"/>
      <c r="F126" s="14"/>
      <c r="G126" s="14"/>
      <c r="H126" s="14"/>
      <c r="I126" s="14"/>
      <c r="J126" s="14"/>
    </row>
    <row r="127" ht="15.75" customHeight="1">
      <c r="A127" s="14"/>
      <c r="B127" s="14"/>
      <c r="C127" s="14"/>
      <c r="D127" s="14"/>
      <c r="E127" s="14"/>
      <c r="F127" s="14"/>
      <c r="G127" s="14"/>
      <c r="H127" s="14"/>
      <c r="I127" s="14"/>
      <c r="J127" s="14"/>
    </row>
    <row r="128" ht="15.75" customHeight="1">
      <c r="A128" s="14"/>
      <c r="B128" s="14"/>
      <c r="C128" s="14"/>
      <c r="D128" s="14"/>
      <c r="E128" s="14"/>
      <c r="F128" s="14"/>
      <c r="G128" s="14"/>
      <c r="H128" s="14"/>
      <c r="I128" s="14"/>
      <c r="J128" s="14"/>
    </row>
    <row r="129" ht="15.75" customHeight="1">
      <c r="A129" s="14"/>
      <c r="B129" s="14"/>
      <c r="C129" s="14"/>
      <c r="D129" s="14"/>
      <c r="E129" s="14"/>
      <c r="F129" s="14"/>
      <c r="G129" s="14"/>
      <c r="H129" s="14"/>
      <c r="I129" s="14"/>
      <c r="J129" s="14"/>
    </row>
    <row r="130" ht="15.75" customHeight="1">
      <c r="A130" s="14"/>
      <c r="B130" s="14"/>
      <c r="C130" s="14"/>
      <c r="D130" s="14"/>
      <c r="E130" s="14"/>
      <c r="F130" s="14"/>
      <c r="G130" s="14"/>
      <c r="H130" s="14"/>
      <c r="I130" s="14"/>
      <c r="J130" s="14"/>
    </row>
    <row r="131" ht="15.75" customHeight="1">
      <c r="A131" s="14"/>
      <c r="B131" s="14"/>
      <c r="C131" s="14"/>
      <c r="D131" s="14"/>
      <c r="E131" s="14"/>
      <c r="F131" s="14"/>
      <c r="G131" s="14"/>
      <c r="H131" s="14"/>
      <c r="I131" s="14"/>
      <c r="J131" s="14"/>
    </row>
    <row r="132" ht="15.75" customHeight="1">
      <c r="A132" s="14"/>
      <c r="B132" s="14"/>
      <c r="C132" s="14"/>
      <c r="D132" s="14"/>
      <c r="E132" s="14"/>
      <c r="F132" s="14"/>
      <c r="G132" s="14"/>
      <c r="H132" s="14"/>
      <c r="I132" s="14"/>
      <c r="J132" s="14"/>
    </row>
    <row r="133" ht="15.75" customHeight="1">
      <c r="A133" s="14"/>
      <c r="B133" s="14"/>
      <c r="C133" s="14"/>
      <c r="D133" s="14"/>
      <c r="E133" s="14"/>
      <c r="F133" s="14"/>
      <c r="G133" s="14"/>
      <c r="H133" s="14"/>
      <c r="I133" s="14"/>
      <c r="J133" s="14"/>
    </row>
    <row r="134" ht="15.75" customHeight="1">
      <c r="D134" s="21"/>
      <c r="H134" s="21"/>
    </row>
    <row r="135" ht="15.75" customHeight="1">
      <c r="D135" s="21"/>
      <c r="H135" s="21"/>
    </row>
    <row r="136" ht="15.75" customHeight="1">
      <c r="D136" s="21"/>
      <c r="H136" s="21"/>
    </row>
    <row r="137" ht="15.75" customHeight="1">
      <c r="D137" s="21"/>
      <c r="H137" s="21"/>
    </row>
    <row r="138" ht="15.75" customHeight="1">
      <c r="D138" s="21"/>
      <c r="H138" s="21"/>
    </row>
    <row r="139" ht="15.75" customHeight="1">
      <c r="D139" s="21"/>
      <c r="H139" s="21"/>
    </row>
    <row r="140" ht="15.75" customHeight="1">
      <c r="D140" s="21"/>
      <c r="H140" s="21"/>
    </row>
    <row r="141" ht="15.75" customHeight="1">
      <c r="D141" s="21"/>
      <c r="H141" s="21"/>
    </row>
    <row r="142" ht="15.75" customHeight="1">
      <c r="D142" s="21"/>
      <c r="H142" s="21"/>
    </row>
    <row r="143" ht="15.75" customHeight="1">
      <c r="D143" s="21"/>
      <c r="H143" s="21"/>
    </row>
    <row r="144" ht="15.75" customHeight="1">
      <c r="D144" s="21"/>
      <c r="H144" s="21"/>
    </row>
    <row r="145" ht="15.75" customHeight="1">
      <c r="D145" s="21"/>
      <c r="H145" s="21"/>
    </row>
    <row r="146" ht="15.75" customHeight="1">
      <c r="D146" s="21"/>
      <c r="H146" s="21"/>
    </row>
    <row r="147" ht="15.75" customHeight="1">
      <c r="D147" s="21"/>
      <c r="H147" s="21"/>
    </row>
    <row r="148" ht="15.75" customHeight="1">
      <c r="D148" s="21"/>
      <c r="H148" s="21"/>
    </row>
    <row r="149" ht="15.75" customHeight="1">
      <c r="D149" s="21"/>
      <c r="H149" s="21"/>
    </row>
    <row r="150" ht="15.75" customHeight="1">
      <c r="D150" s="21"/>
      <c r="H150" s="21"/>
    </row>
    <row r="151" ht="15.75" customHeight="1">
      <c r="D151" s="21"/>
      <c r="H151" s="21"/>
    </row>
    <row r="152" ht="15.75" customHeight="1">
      <c r="D152" s="21"/>
      <c r="H152" s="21"/>
    </row>
    <row r="153" ht="15.75" customHeight="1">
      <c r="D153" s="21"/>
      <c r="H153" s="21"/>
    </row>
    <row r="154" ht="15.75" customHeight="1">
      <c r="D154" s="21"/>
      <c r="H154" s="21"/>
    </row>
    <row r="155" ht="15.75" customHeight="1">
      <c r="D155" s="21"/>
      <c r="H155" s="21"/>
    </row>
    <row r="156" ht="15.75" customHeight="1">
      <c r="D156" s="21"/>
      <c r="H156" s="21"/>
    </row>
    <row r="157" ht="15.75" customHeight="1">
      <c r="D157" s="21"/>
      <c r="H157" s="21"/>
    </row>
    <row r="158" ht="15.75" customHeight="1">
      <c r="D158" s="21"/>
      <c r="H158" s="21"/>
    </row>
    <row r="159" ht="15.75" customHeight="1">
      <c r="D159" s="21"/>
      <c r="H159" s="21"/>
    </row>
    <row r="160" ht="15.75" customHeight="1">
      <c r="D160" s="21"/>
      <c r="H160" s="21"/>
    </row>
    <row r="161" ht="15.75" customHeight="1">
      <c r="D161" s="21"/>
      <c r="H161" s="21"/>
    </row>
    <row r="162" ht="15.75" customHeight="1">
      <c r="D162" s="21"/>
      <c r="H162" s="21"/>
    </row>
    <row r="163" ht="15.75" customHeight="1">
      <c r="D163" s="21"/>
      <c r="H163" s="21"/>
    </row>
    <row r="164" ht="15.75" customHeight="1">
      <c r="D164" s="21"/>
      <c r="H164" s="21"/>
    </row>
    <row r="165" ht="15.75" customHeight="1">
      <c r="D165" s="21"/>
      <c r="H165" s="21"/>
    </row>
    <row r="166" ht="15.75" customHeight="1">
      <c r="D166" s="21"/>
      <c r="H166" s="21"/>
    </row>
    <row r="167" ht="15.75" customHeight="1">
      <c r="D167" s="21"/>
      <c r="H167" s="21"/>
    </row>
    <row r="168" ht="15.75" customHeight="1">
      <c r="D168" s="21"/>
      <c r="H168" s="21"/>
    </row>
    <row r="169" ht="15.75" customHeight="1">
      <c r="D169" s="21"/>
      <c r="H169" s="21"/>
    </row>
    <row r="170" ht="15.75" customHeight="1">
      <c r="D170" s="21"/>
      <c r="H170" s="21"/>
    </row>
    <row r="171" ht="15.75" customHeight="1">
      <c r="D171" s="21"/>
      <c r="H171" s="21"/>
    </row>
    <row r="172" ht="15.75" customHeight="1">
      <c r="D172" s="21"/>
      <c r="H172" s="21"/>
    </row>
    <row r="173" ht="15.75" customHeight="1">
      <c r="D173" s="21"/>
      <c r="H173" s="21"/>
    </row>
    <row r="174" ht="15.75" customHeight="1">
      <c r="D174" s="21"/>
      <c r="H174" s="21"/>
    </row>
    <row r="175" ht="15.75" customHeight="1">
      <c r="D175" s="21"/>
      <c r="H175" s="21"/>
    </row>
    <row r="176" ht="15.75" customHeight="1">
      <c r="D176" s="21"/>
      <c r="H176" s="21"/>
    </row>
    <row r="177" ht="15.75" customHeight="1">
      <c r="D177" s="21"/>
      <c r="H177" s="21"/>
    </row>
    <row r="178" ht="15.75" customHeight="1">
      <c r="D178" s="21"/>
      <c r="H178" s="21"/>
    </row>
    <row r="179" ht="15.75" customHeight="1">
      <c r="D179" s="21"/>
      <c r="H179" s="21"/>
    </row>
    <row r="180" ht="15.75" customHeight="1">
      <c r="D180" s="21"/>
      <c r="H180" s="21"/>
    </row>
    <row r="181" ht="15.75" customHeight="1">
      <c r="D181" s="21"/>
      <c r="H181" s="21"/>
    </row>
    <row r="182" ht="15.75" customHeight="1">
      <c r="D182" s="21"/>
      <c r="H182" s="21"/>
    </row>
    <row r="183" ht="15.75" customHeight="1">
      <c r="D183" s="21"/>
      <c r="H183" s="21"/>
    </row>
    <row r="184" ht="15.75" customHeight="1">
      <c r="D184" s="21"/>
      <c r="H184" s="21"/>
    </row>
    <row r="185" ht="15.75" customHeight="1">
      <c r="D185" s="21"/>
      <c r="H185" s="21"/>
    </row>
    <row r="186" ht="15.75" customHeight="1">
      <c r="D186" s="21"/>
      <c r="H186" s="21"/>
    </row>
    <row r="187" ht="15.75" customHeight="1">
      <c r="D187" s="21"/>
      <c r="H187" s="21"/>
    </row>
    <row r="188" ht="15.75" customHeight="1">
      <c r="D188" s="21"/>
      <c r="H188" s="21"/>
    </row>
    <row r="189" ht="15.75" customHeight="1">
      <c r="D189" s="21"/>
      <c r="H189" s="21"/>
    </row>
    <row r="190" ht="15.75" customHeight="1">
      <c r="D190" s="21"/>
      <c r="H190" s="21"/>
    </row>
    <row r="191" ht="15.75" customHeight="1">
      <c r="D191" s="21"/>
      <c r="H191" s="21"/>
    </row>
    <row r="192" ht="15.75" customHeight="1">
      <c r="D192" s="21"/>
      <c r="H192" s="21"/>
    </row>
    <row r="193" ht="15.75" customHeight="1">
      <c r="D193" s="21"/>
      <c r="H193" s="21"/>
    </row>
    <row r="194" ht="15.75" customHeight="1">
      <c r="D194" s="21"/>
      <c r="H194" s="21"/>
    </row>
    <row r="195" ht="15.75" customHeight="1">
      <c r="D195" s="21"/>
      <c r="H195" s="21"/>
    </row>
    <row r="196" ht="15.75" customHeight="1">
      <c r="D196" s="21"/>
      <c r="H196" s="21"/>
    </row>
    <row r="197" ht="15.75" customHeight="1">
      <c r="D197" s="21"/>
      <c r="H197" s="21"/>
    </row>
    <row r="198" ht="15.75" customHeight="1">
      <c r="D198" s="21"/>
      <c r="H198" s="21"/>
    </row>
    <row r="199" ht="15.75" customHeight="1">
      <c r="D199" s="21"/>
      <c r="H199" s="21"/>
    </row>
    <row r="200" ht="15.75" customHeight="1">
      <c r="D200" s="21"/>
      <c r="H200" s="21"/>
    </row>
    <row r="201" ht="15.75" customHeight="1">
      <c r="D201" s="21"/>
      <c r="H201" s="21"/>
    </row>
    <row r="202" ht="15.75" customHeight="1">
      <c r="D202" s="21"/>
      <c r="H202" s="21"/>
    </row>
    <row r="203" ht="15.75" customHeight="1">
      <c r="D203" s="21"/>
      <c r="H203" s="21"/>
    </row>
    <row r="204" ht="15.75" customHeight="1">
      <c r="D204" s="21"/>
      <c r="H204" s="21"/>
    </row>
    <row r="205" ht="15.75" customHeight="1">
      <c r="D205" s="21"/>
      <c r="H205" s="21"/>
    </row>
    <row r="206" ht="15.75" customHeight="1">
      <c r="D206" s="21"/>
      <c r="H206" s="21"/>
    </row>
    <row r="207" ht="15.75" customHeight="1">
      <c r="D207" s="21"/>
      <c r="H207" s="21"/>
    </row>
    <row r="208" ht="15.75" customHeight="1">
      <c r="D208" s="21"/>
      <c r="H208" s="21"/>
    </row>
    <row r="209" ht="15.75" customHeight="1">
      <c r="D209" s="21"/>
      <c r="H209" s="21"/>
    </row>
    <row r="210" ht="15.75" customHeight="1">
      <c r="D210" s="21"/>
      <c r="H210" s="21"/>
    </row>
    <row r="211" ht="15.75" customHeight="1">
      <c r="D211" s="21"/>
      <c r="H211" s="21"/>
    </row>
    <row r="212" ht="15.75" customHeight="1">
      <c r="D212" s="21"/>
      <c r="H212" s="21"/>
    </row>
    <row r="213" ht="15.75" customHeight="1">
      <c r="D213" s="21"/>
      <c r="H213" s="21"/>
    </row>
    <row r="214" ht="15.75" customHeight="1">
      <c r="D214" s="21"/>
      <c r="H214" s="21"/>
    </row>
    <row r="215" ht="15.75" customHeight="1">
      <c r="D215" s="21"/>
      <c r="H215" s="21"/>
    </row>
    <row r="216" ht="15.75" customHeight="1">
      <c r="D216" s="21"/>
      <c r="H216" s="21"/>
    </row>
    <row r="217" ht="15.75" customHeight="1">
      <c r="D217" s="21"/>
      <c r="H217" s="21"/>
    </row>
    <row r="218" ht="15.75" customHeight="1">
      <c r="D218" s="21"/>
      <c r="H218" s="21"/>
    </row>
    <row r="219" ht="15.75" customHeight="1">
      <c r="D219" s="21"/>
      <c r="H219" s="21"/>
    </row>
    <row r="220" ht="15.75" customHeight="1">
      <c r="D220" s="22"/>
      <c r="H220" s="22"/>
    </row>
    <row r="221" ht="15.75" customHeight="1">
      <c r="D221" s="22"/>
      <c r="H221" s="22"/>
    </row>
    <row r="222" ht="15.75" customHeight="1">
      <c r="D222" s="22"/>
      <c r="H222" s="22"/>
    </row>
    <row r="223" ht="15.75" customHeight="1">
      <c r="D223" s="22"/>
      <c r="H223" s="22"/>
    </row>
    <row r="224" ht="15.75" customHeight="1">
      <c r="D224" s="22"/>
      <c r="H224" s="22"/>
    </row>
    <row r="225" ht="15.75" customHeight="1">
      <c r="D225" s="22"/>
      <c r="H225" s="22"/>
    </row>
    <row r="226" ht="15.75" customHeight="1">
      <c r="D226" s="22"/>
      <c r="H226" s="22"/>
    </row>
    <row r="227" ht="15.75" customHeight="1">
      <c r="D227" s="22"/>
      <c r="H227" s="22"/>
    </row>
    <row r="228" ht="15.75" customHeight="1">
      <c r="D228" s="22"/>
      <c r="H228" s="22"/>
    </row>
    <row r="229" ht="15.75" customHeight="1">
      <c r="D229" s="22"/>
      <c r="H229" s="22"/>
    </row>
    <row r="230" ht="15.75" customHeight="1">
      <c r="D230" s="22"/>
      <c r="H230" s="22"/>
    </row>
    <row r="231" ht="15.75" customHeight="1">
      <c r="D231" s="22"/>
      <c r="H231" s="22"/>
    </row>
    <row r="232" ht="15.75" customHeight="1">
      <c r="D232" s="22"/>
      <c r="H232" s="22"/>
    </row>
    <row r="233" ht="15.75" customHeight="1">
      <c r="D233" s="22"/>
      <c r="H233" s="22"/>
    </row>
    <row r="234" ht="15.75" customHeight="1">
      <c r="D234" s="22"/>
      <c r="H234" s="22"/>
    </row>
    <row r="235" ht="15.75" customHeight="1">
      <c r="D235" s="22"/>
      <c r="H235" s="22"/>
    </row>
    <row r="236" ht="15.75" customHeight="1">
      <c r="D236" s="22"/>
      <c r="H236" s="22"/>
    </row>
    <row r="237" ht="15.75" customHeight="1">
      <c r="D237" s="22"/>
      <c r="H237" s="22"/>
    </row>
    <row r="238" ht="15.75" customHeight="1">
      <c r="D238" s="22"/>
      <c r="H238" s="22"/>
    </row>
    <row r="239" ht="15.75" customHeight="1">
      <c r="D239" s="22"/>
      <c r="H239" s="22"/>
    </row>
    <row r="240" ht="15.75" customHeight="1">
      <c r="D240" s="22"/>
      <c r="H240" s="22"/>
    </row>
    <row r="241" ht="15.75" customHeight="1">
      <c r="D241" s="22"/>
      <c r="H241" s="22"/>
    </row>
    <row r="242" ht="15.75" customHeight="1">
      <c r="D242" s="22"/>
      <c r="H242" s="22"/>
    </row>
    <row r="243" ht="15.75" customHeight="1">
      <c r="D243" s="22"/>
      <c r="H243" s="22"/>
    </row>
    <row r="244" ht="15.75" customHeight="1">
      <c r="D244" s="22"/>
      <c r="H244" s="22"/>
    </row>
    <row r="245" ht="15.75" customHeight="1">
      <c r="D245" s="22"/>
      <c r="H245" s="22"/>
    </row>
    <row r="246" ht="15.75" customHeight="1">
      <c r="D246" s="22"/>
      <c r="H246" s="22"/>
    </row>
    <row r="247" ht="15.75" customHeight="1">
      <c r="D247" s="22"/>
      <c r="H247" s="22"/>
    </row>
    <row r="248" ht="15.75" customHeight="1">
      <c r="D248" s="22"/>
      <c r="H248" s="22"/>
    </row>
    <row r="249" ht="15.75" customHeight="1">
      <c r="D249" s="22"/>
      <c r="H249" s="22"/>
    </row>
    <row r="250" ht="15.75" customHeight="1">
      <c r="D250" s="22"/>
      <c r="H250" s="22"/>
    </row>
    <row r="251" ht="15.75" customHeight="1">
      <c r="D251" s="22"/>
      <c r="H251" s="22"/>
    </row>
    <row r="252" ht="15.75" customHeight="1">
      <c r="D252" s="22"/>
      <c r="H252" s="22"/>
    </row>
    <row r="253" ht="15.75" customHeight="1">
      <c r="D253" s="22"/>
      <c r="H253" s="22"/>
    </row>
    <row r="254" ht="15.75" customHeight="1">
      <c r="D254" s="22"/>
      <c r="H254" s="22"/>
    </row>
    <row r="255" ht="15.75" customHeight="1">
      <c r="D255" s="22"/>
      <c r="H255" s="22"/>
    </row>
    <row r="256" ht="15.75" customHeight="1">
      <c r="D256" s="22"/>
      <c r="H256" s="22"/>
    </row>
    <row r="257" ht="15.75" customHeight="1">
      <c r="D257" s="22"/>
      <c r="H257" s="22"/>
    </row>
    <row r="258" ht="15.75" customHeight="1">
      <c r="D258" s="22"/>
      <c r="H258" s="22"/>
    </row>
    <row r="259" ht="15.75" customHeight="1">
      <c r="D259" s="22"/>
      <c r="H259" s="22"/>
    </row>
    <row r="260" ht="15.75" customHeight="1">
      <c r="D260" s="22"/>
      <c r="H260" s="22"/>
    </row>
    <row r="261" ht="15.75" customHeight="1">
      <c r="D261" s="22"/>
      <c r="H261" s="22"/>
    </row>
    <row r="262" ht="15.75" customHeight="1">
      <c r="D262" s="22"/>
      <c r="H262" s="22"/>
    </row>
    <row r="263" ht="15.75" customHeight="1">
      <c r="D263" s="22"/>
      <c r="H263" s="22"/>
    </row>
    <row r="264" ht="15.75" customHeight="1">
      <c r="D264" s="22"/>
      <c r="H264" s="22"/>
    </row>
    <row r="265" ht="15.75" customHeight="1">
      <c r="D265" s="22"/>
      <c r="H265" s="22"/>
    </row>
    <row r="266" ht="15.75" customHeight="1">
      <c r="D266" s="22"/>
      <c r="H266" s="22"/>
    </row>
    <row r="267" ht="15.75" customHeight="1">
      <c r="D267" s="22"/>
      <c r="H267" s="22"/>
    </row>
    <row r="268" ht="15.75" customHeight="1">
      <c r="D268" s="22"/>
      <c r="H268" s="22"/>
    </row>
    <row r="269" ht="15.75" customHeight="1">
      <c r="D269" s="22"/>
      <c r="H269" s="22"/>
    </row>
    <row r="270" ht="15.75" customHeight="1">
      <c r="D270" s="22"/>
      <c r="H270" s="22"/>
    </row>
    <row r="271" ht="15.75" customHeight="1">
      <c r="D271" s="22"/>
      <c r="H271" s="22"/>
    </row>
    <row r="272" ht="15.75" customHeight="1">
      <c r="D272" s="22"/>
      <c r="H272" s="22"/>
    </row>
    <row r="273" ht="15.75" customHeight="1">
      <c r="D273" s="22"/>
      <c r="H273" s="22"/>
    </row>
    <row r="274" ht="15.75" customHeight="1">
      <c r="D274" s="22"/>
      <c r="H274" s="22"/>
    </row>
    <row r="275" ht="15.75" customHeight="1">
      <c r="D275" s="22"/>
      <c r="H275" s="22"/>
    </row>
    <row r="276" ht="15.75" customHeight="1">
      <c r="D276" s="22"/>
      <c r="H276" s="22"/>
    </row>
    <row r="277" ht="15.75" customHeight="1">
      <c r="D277" s="22"/>
      <c r="H277" s="22"/>
    </row>
    <row r="278" ht="15.75" customHeight="1">
      <c r="D278" s="22"/>
      <c r="H278" s="22"/>
    </row>
    <row r="279" ht="15.75" customHeight="1">
      <c r="D279" s="22"/>
      <c r="H279" s="22"/>
    </row>
    <row r="280" ht="15.75" customHeight="1">
      <c r="D280" s="22"/>
      <c r="H280" s="22"/>
    </row>
    <row r="281" ht="15.75" customHeight="1">
      <c r="D281" s="22"/>
      <c r="H281" s="22"/>
    </row>
    <row r="282" ht="15.75" customHeight="1">
      <c r="D282" s="22"/>
      <c r="H282" s="22"/>
    </row>
    <row r="283" ht="15.75" customHeight="1">
      <c r="D283" s="22"/>
      <c r="H283" s="22"/>
    </row>
    <row r="284" ht="15.75" customHeight="1">
      <c r="D284" s="22"/>
      <c r="H284" s="22"/>
    </row>
    <row r="285" ht="15.75" customHeight="1">
      <c r="D285" s="22"/>
      <c r="H285" s="22"/>
    </row>
    <row r="286" ht="15.75" customHeight="1">
      <c r="D286" s="22"/>
      <c r="H286" s="22"/>
    </row>
    <row r="287" ht="15.75" customHeight="1">
      <c r="D287" s="22"/>
      <c r="H287" s="22"/>
    </row>
    <row r="288" ht="15.75" customHeight="1">
      <c r="D288" s="22"/>
      <c r="H288" s="22"/>
    </row>
    <row r="289" ht="15.75" customHeight="1">
      <c r="D289" s="22"/>
      <c r="H289" s="22"/>
    </row>
    <row r="290" ht="15.75" customHeight="1">
      <c r="D290" s="22"/>
      <c r="H290" s="22"/>
    </row>
    <row r="291" ht="15.75" customHeight="1">
      <c r="D291" s="22"/>
      <c r="H291" s="22"/>
    </row>
    <row r="292" ht="15.75" customHeight="1">
      <c r="D292" s="22"/>
      <c r="H292" s="22"/>
    </row>
    <row r="293" ht="15.75" customHeight="1">
      <c r="D293" s="22"/>
      <c r="H293" s="22"/>
    </row>
    <row r="294" ht="15.75" customHeight="1">
      <c r="D294" s="22"/>
      <c r="H294" s="22"/>
    </row>
    <row r="295" ht="15.75" customHeight="1">
      <c r="D295" s="22"/>
      <c r="H295" s="22"/>
    </row>
    <row r="296" ht="15.75" customHeight="1">
      <c r="D296" s="22"/>
      <c r="H296" s="22"/>
    </row>
    <row r="297" ht="15.75" customHeight="1">
      <c r="D297" s="22"/>
      <c r="H297" s="22"/>
    </row>
    <row r="298" ht="15.75" customHeight="1">
      <c r="D298" s="22"/>
      <c r="H298" s="22"/>
    </row>
    <row r="299" ht="15.75" customHeight="1">
      <c r="D299" s="22"/>
      <c r="H299" s="22"/>
    </row>
    <row r="300" ht="15.75" customHeight="1">
      <c r="D300" s="22"/>
      <c r="H300" s="22"/>
    </row>
    <row r="301" ht="15.75" customHeight="1">
      <c r="D301" s="22"/>
      <c r="H301" s="22"/>
    </row>
    <row r="302" ht="15.75" customHeight="1">
      <c r="D302" s="22"/>
      <c r="H302" s="22"/>
    </row>
    <row r="303" ht="15.75" customHeight="1">
      <c r="D303" s="22"/>
      <c r="H303" s="22"/>
    </row>
    <row r="304" ht="15.75" customHeight="1">
      <c r="D304" s="22"/>
      <c r="H304" s="22"/>
    </row>
    <row r="305" ht="15.75" customHeight="1">
      <c r="D305" s="22"/>
      <c r="H305" s="22"/>
    </row>
    <row r="306" ht="15.75" customHeight="1">
      <c r="D306" s="22"/>
      <c r="H306" s="22"/>
    </row>
    <row r="307" ht="15.75" customHeight="1">
      <c r="D307" s="22"/>
      <c r="H307" s="22"/>
    </row>
    <row r="308" ht="15.75" customHeight="1">
      <c r="D308" s="22"/>
      <c r="H308" s="22"/>
    </row>
    <row r="309" ht="15.75" customHeight="1">
      <c r="D309" s="22"/>
      <c r="H309" s="22"/>
    </row>
    <row r="310" ht="15.75" customHeight="1">
      <c r="D310" s="22"/>
      <c r="H310" s="22"/>
    </row>
    <row r="311" ht="15.75" customHeight="1">
      <c r="D311" s="22"/>
      <c r="H311" s="22"/>
    </row>
    <row r="312" ht="15.75" customHeight="1">
      <c r="D312" s="22"/>
      <c r="H312" s="22"/>
    </row>
    <row r="313" ht="15.75" customHeight="1">
      <c r="D313" s="22"/>
      <c r="H313" s="22"/>
    </row>
    <row r="314" ht="15.75" customHeight="1">
      <c r="D314" s="22"/>
      <c r="H314" s="22"/>
    </row>
    <row r="315" ht="15.75" customHeight="1">
      <c r="D315" s="22"/>
      <c r="H315" s="22"/>
    </row>
    <row r="316" ht="15.75" customHeight="1">
      <c r="D316" s="22"/>
      <c r="H316" s="22"/>
    </row>
    <row r="317" ht="15.75" customHeight="1">
      <c r="D317" s="22"/>
      <c r="H317" s="22"/>
    </row>
    <row r="318" ht="15.75" customHeight="1">
      <c r="D318" s="22"/>
      <c r="H318" s="22"/>
    </row>
    <row r="319" ht="15.75" customHeight="1">
      <c r="D319" s="22"/>
      <c r="H319" s="22"/>
    </row>
    <row r="320" ht="15.75" customHeight="1">
      <c r="D320" s="22"/>
      <c r="H320" s="22"/>
    </row>
    <row r="321" ht="15.75" customHeight="1">
      <c r="D321" s="22"/>
      <c r="H321" s="22"/>
    </row>
    <row r="322" ht="15.75" customHeight="1">
      <c r="D322" s="22"/>
      <c r="H322" s="22"/>
    </row>
    <row r="323" ht="15.75" customHeight="1">
      <c r="D323" s="22"/>
      <c r="H323" s="22"/>
    </row>
    <row r="324" ht="15.75" customHeight="1">
      <c r="D324" s="22"/>
      <c r="H324" s="22"/>
    </row>
    <row r="325" ht="15.75" customHeight="1">
      <c r="D325" s="22"/>
      <c r="H325" s="22"/>
    </row>
    <row r="326" ht="15.75" customHeight="1">
      <c r="D326" s="22"/>
      <c r="H326" s="22"/>
    </row>
    <row r="327" ht="15.75" customHeight="1">
      <c r="D327" s="22"/>
      <c r="H327" s="22"/>
    </row>
    <row r="328" ht="15.75" customHeight="1">
      <c r="D328" s="22"/>
      <c r="H328" s="22"/>
    </row>
    <row r="329" ht="15.75" customHeight="1">
      <c r="D329" s="22"/>
      <c r="H329" s="22"/>
    </row>
    <row r="330" ht="15.75" customHeight="1">
      <c r="D330" s="22"/>
      <c r="H330" s="22"/>
    </row>
    <row r="331" ht="15.75" customHeight="1">
      <c r="D331" s="22"/>
      <c r="H331" s="22"/>
    </row>
    <row r="332" ht="15.75" customHeight="1">
      <c r="D332" s="22"/>
      <c r="H332" s="22"/>
    </row>
    <row r="333" ht="15.75" customHeight="1">
      <c r="D333" s="22"/>
      <c r="H333" s="22"/>
    </row>
    <row r="334" ht="15.75" customHeight="1">
      <c r="D334" s="22"/>
      <c r="H334" s="22"/>
    </row>
    <row r="335" ht="15.75" customHeight="1">
      <c r="D335" s="22"/>
      <c r="H335" s="22"/>
    </row>
    <row r="336" ht="15.75" customHeight="1">
      <c r="D336" s="22"/>
      <c r="H336" s="22"/>
    </row>
    <row r="337" ht="15.75" customHeight="1">
      <c r="D337" s="22"/>
      <c r="H337" s="22"/>
    </row>
    <row r="338" ht="15.75" customHeight="1">
      <c r="D338" s="22"/>
      <c r="H338" s="22"/>
    </row>
    <row r="339" ht="15.75" customHeight="1">
      <c r="D339" s="22"/>
      <c r="H339" s="22"/>
    </row>
    <row r="340" ht="15.75" customHeight="1">
      <c r="D340" s="22"/>
      <c r="H340" s="22"/>
    </row>
    <row r="341" ht="15.75" customHeight="1">
      <c r="D341" s="22"/>
      <c r="H341" s="22"/>
    </row>
    <row r="342" ht="15.75" customHeight="1">
      <c r="D342" s="22"/>
      <c r="H342" s="22"/>
    </row>
    <row r="343" ht="15.75" customHeight="1">
      <c r="D343" s="22"/>
      <c r="H343" s="22"/>
    </row>
    <row r="344" ht="15.75" customHeight="1">
      <c r="D344" s="22"/>
      <c r="H344" s="22"/>
    </row>
    <row r="345" ht="15.75" customHeight="1">
      <c r="D345" s="22"/>
      <c r="H345" s="22"/>
    </row>
    <row r="346" ht="15.75" customHeight="1">
      <c r="D346" s="22"/>
      <c r="H346" s="22"/>
    </row>
    <row r="347" ht="15.75" customHeight="1">
      <c r="D347" s="22"/>
      <c r="H347" s="22"/>
    </row>
    <row r="348" ht="15.75" customHeight="1">
      <c r="D348" s="22"/>
      <c r="H348" s="22"/>
    </row>
    <row r="349" ht="15.75" customHeight="1">
      <c r="D349" s="22"/>
      <c r="H349" s="22"/>
    </row>
    <row r="350" ht="15.75" customHeight="1">
      <c r="D350" s="22"/>
      <c r="H350" s="22"/>
    </row>
    <row r="351" ht="15.75" customHeight="1">
      <c r="D351" s="22"/>
      <c r="H351" s="22"/>
    </row>
    <row r="352" ht="15.75" customHeight="1">
      <c r="D352" s="22"/>
      <c r="H352" s="22"/>
    </row>
    <row r="353" ht="15.75" customHeight="1">
      <c r="D353" s="22"/>
      <c r="H353" s="22"/>
    </row>
    <row r="354" ht="15.75" customHeight="1">
      <c r="D354" s="22"/>
      <c r="H354" s="22"/>
    </row>
    <row r="355" ht="15.75" customHeight="1">
      <c r="D355" s="22"/>
      <c r="H355" s="22"/>
    </row>
    <row r="356" ht="15.75" customHeight="1">
      <c r="D356" s="22"/>
      <c r="H356" s="22"/>
    </row>
    <row r="357" ht="15.75" customHeight="1">
      <c r="D357" s="22"/>
      <c r="H357" s="22"/>
    </row>
    <row r="358" ht="15.75" customHeight="1">
      <c r="D358" s="22"/>
      <c r="H358" s="22"/>
    </row>
    <row r="359" ht="15.75" customHeight="1">
      <c r="D359" s="22"/>
      <c r="H359" s="22"/>
    </row>
    <row r="360" ht="15.75" customHeight="1">
      <c r="D360" s="22"/>
      <c r="H360" s="22"/>
    </row>
    <row r="361" ht="15.75" customHeight="1">
      <c r="D361" s="22"/>
      <c r="H361" s="22"/>
    </row>
    <row r="362" ht="15.75" customHeight="1">
      <c r="D362" s="22"/>
      <c r="H362" s="22"/>
    </row>
    <row r="363" ht="15.75" customHeight="1">
      <c r="D363" s="22"/>
      <c r="H363" s="22"/>
    </row>
    <row r="364" ht="15.75" customHeight="1">
      <c r="D364" s="22"/>
      <c r="H364" s="22"/>
    </row>
    <row r="365" ht="15.75" customHeight="1">
      <c r="D365" s="22"/>
      <c r="H365" s="22"/>
    </row>
    <row r="366" ht="15.75" customHeight="1">
      <c r="D366" s="22"/>
      <c r="H366" s="22"/>
    </row>
    <row r="367" ht="15.75" customHeight="1">
      <c r="D367" s="22"/>
      <c r="H367" s="22"/>
    </row>
    <row r="368" ht="15.75" customHeight="1">
      <c r="D368" s="22"/>
      <c r="H368" s="22"/>
    </row>
    <row r="369" ht="15.75" customHeight="1">
      <c r="D369" s="22"/>
      <c r="H369" s="22"/>
    </row>
    <row r="370" ht="15.75" customHeight="1">
      <c r="D370" s="22"/>
      <c r="H370" s="22"/>
    </row>
    <row r="371" ht="15.75" customHeight="1">
      <c r="D371" s="22"/>
      <c r="H371" s="22"/>
    </row>
    <row r="372" ht="15.75" customHeight="1">
      <c r="D372" s="22"/>
      <c r="H372" s="22"/>
    </row>
    <row r="373" ht="15.75" customHeight="1">
      <c r="D373" s="22"/>
      <c r="H373" s="22"/>
    </row>
    <row r="374" ht="15.75" customHeight="1">
      <c r="D374" s="22"/>
      <c r="H374" s="22"/>
    </row>
    <row r="375" ht="15.75" customHeight="1">
      <c r="D375" s="22"/>
      <c r="H375" s="22"/>
    </row>
    <row r="376" ht="15.75" customHeight="1">
      <c r="D376" s="22"/>
      <c r="H376" s="22"/>
    </row>
    <row r="377" ht="15.75" customHeight="1">
      <c r="D377" s="22"/>
      <c r="H377" s="22"/>
    </row>
    <row r="378" ht="15.75" customHeight="1">
      <c r="D378" s="22"/>
      <c r="H378" s="22"/>
    </row>
    <row r="379" ht="15.75" customHeight="1">
      <c r="D379" s="22"/>
      <c r="H379" s="22"/>
    </row>
    <row r="380" ht="15.75" customHeight="1">
      <c r="D380" s="22"/>
      <c r="H380" s="22"/>
    </row>
    <row r="381" ht="15.75" customHeight="1">
      <c r="D381" s="22"/>
      <c r="H381" s="22"/>
    </row>
    <row r="382" ht="15.75" customHeight="1">
      <c r="D382" s="22"/>
      <c r="H382" s="22"/>
    </row>
    <row r="383" ht="15.75" customHeight="1">
      <c r="D383" s="22"/>
      <c r="H383" s="22"/>
    </row>
    <row r="384" ht="15.75" customHeight="1">
      <c r="D384" s="22"/>
      <c r="H384" s="22"/>
    </row>
    <row r="385" ht="15.75" customHeight="1">
      <c r="D385" s="22"/>
      <c r="H385" s="22"/>
    </row>
    <row r="386" ht="15.75" customHeight="1">
      <c r="D386" s="22"/>
      <c r="H386" s="22"/>
    </row>
    <row r="387" ht="15.75" customHeight="1">
      <c r="D387" s="22"/>
      <c r="H387" s="22"/>
    </row>
    <row r="388" ht="15.75" customHeight="1">
      <c r="D388" s="22"/>
      <c r="H388" s="22"/>
    </row>
    <row r="389" ht="15.75" customHeight="1">
      <c r="D389" s="22"/>
      <c r="H389" s="22"/>
    </row>
    <row r="390" ht="15.75" customHeight="1">
      <c r="D390" s="22"/>
      <c r="H390" s="22"/>
    </row>
    <row r="391" ht="15.75" customHeight="1">
      <c r="D391" s="22"/>
      <c r="H391" s="22"/>
    </row>
    <row r="392" ht="15.75" customHeight="1">
      <c r="D392" s="22"/>
      <c r="H392" s="22"/>
    </row>
    <row r="393" ht="15.75" customHeight="1">
      <c r="D393" s="22"/>
      <c r="H393" s="22"/>
    </row>
    <row r="394" ht="15.75" customHeight="1">
      <c r="D394" s="22"/>
      <c r="H394" s="22"/>
    </row>
    <row r="395" ht="15.75" customHeight="1">
      <c r="D395" s="22"/>
      <c r="H395" s="22"/>
    </row>
    <row r="396" ht="15.75" customHeight="1">
      <c r="D396" s="22"/>
      <c r="H396" s="22"/>
    </row>
    <row r="397" ht="15.75" customHeight="1">
      <c r="D397" s="22"/>
      <c r="H397" s="22"/>
    </row>
    <row r="398" ht="15.75" customHeight="1">
      <c r="D398" s="22"/>
      <c r="H398" s="22"/>
    </row>
    <row r="399" ht="15.75" customHeight="1">
      <c r="D399" s="22"/>
      <c r="H399" s="22"/>
    </row>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qref="D2:D399">
      <formula1>"Bloqueante,Crítico,Mayor,Menor"</formula1>
    </dataValidation>
    <dataValidation type="list" allowBlank="1" sqref="H3:H399">
      <formula1>"Abierto,En corrección,Corregido,Verificado,Descartado"</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2026-08-22T03:44:36Z</dcterms:created>
  <dc:creator>openpyxl</dc:creator>
</cp:coreProperties>
</file>

<file path=docProps/custom.xml><?xml version="1.0" encoding="utf-8"?>
<Properties xmlns="http://schemas.openxmlformats.org/officeDocument/2006/custom-properties" xmlns:vt="http://schemas.openxmlformats.org/officeDocument/2006/docPropsVTypes"/>
</file>