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Datos de prueba" sheetId="3" state="visible" r:id="rId5"/>
    <sheet name="Pruebas funcionales" sheetId="4" state="visible" r:id="rId6"/>
    <sheet name="Pruebas no funcionales" sheetId="5" state="visible" r:id="rId7"/>
    <sheet name="Hallazgos" sheetId="6" state="visible" r:id="rId8"/>
  </sheets>
  <definedNames>
    <definedName function="false" hidden="true" localSheetId="3" name="_xlnm._FilterDatabase" vbProcedure="false">'Pruebas funcionales'!$A$1:$M$223</definedName>
    <definedName function="false" hidden="true" localSheetId="4" name="_xlnm._FilterDatabase" vbProcedure="false">'Pruebas no funcionales'!$A$1:$M$64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<sst xmlns="http://schemas.openxmlformats.org/spreadsheetml/2006/main" count="3314" uniqueCount="1494">
  <si>
    <t xml:space="preserve">KineFit — Plan de pruebas del entorno de pruebas</t>
  </si>
  <si>
    <t xml:space="preserve">Este plan es el criterio de salida a producción. Si se completa según lo definido aquí, el sistema está listo para producción; si no se completa, no sale.</t>
  </si>
  <si>
    <t xml:space="preserve">Cómo se usa</t>
  </si>
  <si>
    <t xml:space="preserve">1. Sembrar la base del entorno de pruebas con seed_pruebas.sql antes de cada ronda.</t>
  </si>
  <si>
    <t xml:space="preserve">2. Ejecutar los casos en el orden de las hojas. Cada ejecutor completa sólo las filas donde figura como responsable.</t>
  </si>
  <si>
    <t xml:space="preserve">3. Registrar el resultado en la columna Resultado y adjuntar evidencia: captura, registro o enlace.</t>
  </si>
  <si>
    <t xml:space="preserve">4. Todo caso Fallido genera una fila en la hoja Hallazgos con su severidad.</t>
  </si>
  <si>
    <t xml:space="preserve">5. Corregido el hallazgo, el caso se vuelve a ejecutar. No se marca Aprobado sin repetir la prueba.</t>
  </si>
  <si>
    <t xml:space="preserve">Responsables</t>
  </si>
  <si>
    <t xml:space="preserve">Maxi — pruebas funcionales del panel, ventas, fichas y documentos.</t>
  </si>
  <si>
    <t xml:space="preserve">Jhoan — pruebas funcionales del sitio público y de la configuración de contenido.</t>
  </si>
  <si>
    <t xml:space="preserve">Claude — pruebas técnicas: concurrencia, carga, autorización, seguridad y auditoría del sitio.</t>
  </si>
  <si>
    <t xml:space="preserve">Criterio de severidad</t>
  </si>
  <si>
    <t xml:space="preserve">Bloqueante — impide operar, pierde dinero o pierde datos. Doble reserva, cobro mal calculado, ficha que no guarda, secreto expuesto, caída del servicio. Tolerancia cero.</t>
  </si>
  <si>
    <t xml:space="preserve">Crítico — funcionalidad central rota, aunque exista una vía alternativa. Tolerancia cero.</t>
  </si>
  <si>
    <t xml:space="preserve">Mayor — funciona pero de forma incorrecta o incómoda. Se acepta pasar con un máximo acordado y fecha de corrección comprometida.</t>
  </si>
  <si>
    <t xml:space="preserve">Menor — cosmético o de conveniencia. No bloquea la salida.</t>
  </si>
  <si>
    <t xml:space="preserve">Criterio de cierre</t>
  </si>
  <si>
    <t xml:space="preserve">El plan se declara aprobado cuando no queda ningún caso pendiente, ningún hallazgo bloqueante abierto y ningún hallazgo crítico abierto. La hoja Resumen lo calcula sola.</t>
  </si>
  <si>
    <t xml:space="preserve">Alcance</t>
  </si>
  <si>
    <t xml:space="preserve">Todos los casos derivan de las historias de usuario v-final. Cada fila indica en la columna Historia de cuál proviene.</t>
  </si>
  <si>
    <t xml:space="preserve">Las reservas del sitio permanecen desactivadas en producción durante la marcha blanca, pero el flujo de reserva se prueba completo en el entorno de pruebas.</t>
  </si>
  <si>
    <t xml:space="preserve">Resumen de ejecución</t>
  </si>
  <si>
    <t xml:space="preserve">Indicador</t>
  </si>
  <si>
    <t xml:space="preserve">Funcionales</t>
  </si>
  <si>
    <t xml:space="preserve">No funcionales</t>
  </si>
  <si>
    <t xml:space="preserve">Total</t>
  </si>
  <si>
    <t xml:space="preserve">Casos totales</t>
  </si>
  <si>
    <t xml:space="preserve">Pendientes</t>
  </si>
  <si>
    <t xml:space="preserve">Aprobados</t>
  </si>
  <si>
    <t xml:space="preserve">Fallidos</t>
  </si>
  <si>
    <t xml:space="preserve">Bloqueados</t>
  </si>
  <si>
    <t xml:space="preserve">No aplica</t>
  </si>
  <si>
    <t xml:space="preserve">Fallidos bloqueantes</t>
  </si>
  <si>
    <t xml:space="preserve">Fallidos críticos</t>
  </si>
  <si>
    <t xml:space="preserve">Fallidos mayores</t>
  </si>
  <si>
    <t xml:space="preserve">Avance de ejecución</t>
  </si>
  <si>
    <t xml:space="preserve">Estado del plan</t>
  </si>
  <si>
    <t xml:space="preserve">Regla de cierre: cero pendientes, cero fallidos bloqueantes y cero fallidos críticos.</t>
  </si>
  <si>
    <t xml:space="preserve">Set de datos determinista del entorno de pruebas</t>
  </si>
  <si>
    <t xml:space="preserve">Entidad</t>
  </si>
  <si>
    <t xml:space="preserve">Registro</t>
  </si>
  <si>
    <t xml:space="preserve">Detalle</t>
  </si>
  <si>
    <t xml:space="preserve">Servicios</t>
  </si>
  <si>
    <t xml:space="preserve">Masajes</t>
  </si>
  <si>
    <t xml:space="preserve">Activo. Duración 60 minutos.</t>
  </si>
  <si>
    <t xml:space="preserve">Masajes Premium</t>
  </si>
  <si>
    <t xml:space="preserve">Activo. Duración 90 minutos.</t>
  </si>
  <si>
    <t xml:space="preserve">Masajes en pareja</t>
  </si>
  <si>
    <t xml:space="preserve">Masajes Reductivos</t>
  </si>
  <si>
    <t xml:space="preserve">Activo. Duración 30 minutos.</t>
  </si>
  <si>
    <t xml:space="preserve">Embarazadas</t>
  </si>
  <si>
    <t xml:space="preserve">Kinesiología</t>
  </si>
  <si>
    <t xml:space="preserve">Inactivo al sembrar, para probar su activación.</t>
  </si>
  <si>
    <t xml:space="preserve">Voucher para Regalo</t>
  </si>
  <si>
    <t xml:space="preserve">Activo, sin duración.</t>
  </si>
  <si>
    <t xml:space="preserve">Especialistas</t>
  </si>
  <si>
    <t xml:space="preserve">Especialista A</t>
  </si>
  <si>
    <t xml:space="preserve">Jornada completa. Habilitada en todos los servicios.</t>
  </si>
  <si>
    <t xml:space="preserve">Especialista B</t>
  </si>
  <si>
    <t xml:space="preserve">09:00 a 17:00. Habilitada sólo en masoterapia.</t>
  </si>
  <si>
    <t xml:space="preserve">Especialista C</t>
  </si>
  <si>
    <t xml:space="preserve">18:00 a 21:00. Habilitada en masoterapia y kinesiología.</t>
  </si>
  <si>
    <t xml:space="preserve">Cuentas</t>
  </si>
  <si>
    <t xml:space="preserve">Administrador</t>
  </si>
  <si>
    <t xml:space="preserve">Cuenta de administrador del entorno de pruebas.</t>
  </si>
  <si>
    <t xml:space="preserve">Especialista A y B</t>
  </si>
  <si>
    <t xml:space="preserve">Cuentas de especialista, para probar accesos cruzados.</t>
  </si>
  <si>
    <t xml:space="preserve">Pacientes</t>
  </si>
  <si>
    <t xml:space="preserve">Paciente web</t>
  </si>
  <si>
    <t xml:space="preserve">Registrado con Google, con RUT y teléfono completos.</t>
  </si>
  <si>
    <t xml:space="preserve">Paciente manual</t>
  </si>
  <si>
    <t xml:space="preserve">Registrado por el personal, sin cuenta de Google, mismo RUT que el anterior para probar la vinculación.</t>
  </si>
  <si>
    <t xml:space="preserve">Paciente con convenio</t>
  </si>
  <si>
    <t xml:space="preserve">Afiliado a un convenio vigente.</t>
  </si>
  <si>
    <t xml:space="preserve">Paciente con convenio vencido</t>
  </si>
  <si>
    <t xml:space="preserve">Afiliado a un convenio fuera de vigencia.</t>
  </si>
  <si>
    <t xml:space="preserve">Convenios</t>
  </si>
  <si>
    <t xml:space="preserve">Convenio vigente</t>
  </si>
  <si>
    <t xml:space="preserve">Descuento en masoterapia, sin descuento en kinesiología.</t>
  </si>
  <si>
    <t xml:space="preserve">Convenio vencido</t>
  </si>
  <si>
    <t xml:space="preserve">Vigencia terminada el día anterior.</t>
  </si>
  <si>
    <t xml:space="preserve">Terminales</t>
  </si>
  <si>
    <t xml:space="preserve">Terminal porcentual</t>
  </si>
  <si>
    <t xml:space="preserve">Comisión porcentual distinta para débito y crédito.</t>
  </si>
  <si>
    <t xml:space="preserve">Terminal mixto</t>
  </si>
  <si>
    <t xml:space="preserve">Porcentaje más cargo fijo, con impuesto sobre la comisión.</t>
  </si>
  <si>
    <t xml:space="preserve">Reparto</t>
  </si>
  <si>
    <t xml:space="preserve">Acuerdo vigente</t>
  </si>
  <si>
    <t xml:space="preserve">50% para la profesional desde una fecha anterior.</t>
  </si>
  <si>
    <t xml:space="preserve">Acuerdo anterior</t>
  </si>
  <si>
    <t xml:space="preserve">40% con vigencia terminada, para probar el histórico.</t>
  </si>
  <si>
    <t xml:space="preserve">Impuesto</t>
  </si>
  <si>
    <t xml:space="preserve">Tasa vigente</t>
  </si>
  <si>
    <t xml:space="preserve">19% desde una fecha anterior a todas las ventas sembradas.</t>
  </si>
  <si>
    <t xml:space="preserve">Formatos</t>
  </si>
  <si>
    <t xml:space="preserve">Formato por constructor</t>
  </si>
  <si>
    <t xml:space="preserve">Dos secciones y cinco campos, uno de cada tipo.</t>
  </si>
  <si>
    <t xml:space="preserve">Formato desde documento</t>
  </si>
  <si>
    <t xml:space="preserve">Documento cargado con firma de paciente y de profesional.</t>
  </si>
  <si>
    <t xml:space="preserve">Citas</t>
  </si>
  <si>
    <t xml:space="preserve">Cita confirmada con pago</t>
  </si>
  <si>
    <t xml:space="preserve">Para probar cancelación con advertencia de anticipo.</t>
  </si>
  <si>
    <t xml:space="preserve">Cita atendida sin ficha</t>
  </si>
  <si>
    <t xml:space="preserve">Para probar la creación de ficha.</t>
  </si>
  <si>
    <t xml:space="preserve">Cita con documento pendiente</t>
  </si>
  <si>
    <t xml:space="preserve">Para probar la carga en papel y el conteo de pendientes.</t>
  </si>
  <si>
    <t xml:space="preserve">Cita con documento firmado</t>
  </si>
  <si>
    <t xml:space="preserve">Para probar la firma del profesional.</t>
  </si>
  <si>
    <t xml:space="preserve">Bloqueos</t>
  </si>
  <si>
    <t xml:space="preserve">Bloqueo con motivo público</t>
  </si>
  <si>
    <t xml:space="preserve">Para verificar la exposición en el sitio.</t>
  </si>
  <si>
    <t xml:space="preserve">Bloqueo sin motivo público</t>
  </si>
  <si>
    <t xml:space="preserve">Para verificar que el motivo interno no se expone.</t>
  </si>
  <si>
    <t xml:space="preserve">ID</t>
  </si>
  <si>
    <t xml:space="preserve">Historia</t>
  </si>
  <si>
    <t xml:space="preserve">Módulo</t>
  </si>
  <si>
    <t xml:space="preserve">Caso de prueba</t>
  </si>
  <si>
    <t xml:space="preserve">Precondición</t>
  </si>
  <si>
    <t xml:space="preserve">Pasos</t>
  </si>
  <si>
    <t xml:space="preserve">Datos de entrada</t>
  </si>
  <si>
    <t xml:space="preserve">Resultado esperado</t>
  </si>
  <si>
    <t xml:space="preserve">Severidad si falla</t>
  </si>
  <si>
    <t xml:space="preserve">Responsable</t>
  </si>
  <si>
    <t xml:space="preserve">Resultado</t>
  </si>
  <si>
    <t xml:space="preserve">Evidencia</t>
  </si>
  <si>
    <t xml:space="preserve">Observaciones</t>
  </si>
  <si>
    <t xml:space="preserve">PF-001</t>
  </si>
  <si>
    <t xml:space="preserve">AUT-001</t>
  </si>
  <si>
    <t xml:space="preserve">Autenticación paciente</t>
  </si>
  <si>
    <t xml:space="preserve">Navegar el flujo completo sin sesión iniciada</t>
  </si>
  <si>
    <t xml:space="preserve">Formulario de reserva habilitado</t>
  </si>
  <si>
    <t xml:space="preserve">Abrir el sitio sin sesión. Seleccionar servicio, fecha, hora y especialista.</t>
  </si>
  <si>
    <t xml:space="preserve">Servicio: Masajes</t>
  </si>
  <si>
    <t xml:space="preserve">El flujo avanza hasta el último paso sin pedir sesión en ningún momento</t>
  </si>
  <si>
    <t xml:space="preserve">Mayor</t>
  </si>
  <si>
    <t xml:space="preserve">Maxi</t>
  </si>
  <si>
    <t xml:space="preserve">Pendiente</t>
  </si>
  <si>
    <t xml:space="preserve">PF-002</t>
  </si>
  <si>
    <t xml:space="preserve">Solicitud de sesión al confirmar la reserva</t>
  </si>
  <si>
    <t xml:space="preserve">Flujo completado hasta selección de especialista</t>
  </si>
  <si>
    <t xml:space="preserve">Presionar confirmar reserva</t>
  </si>
  <si>
    <t xml:space="preserve">-</t>
  </si>
  <si>
    <t xml:space="preserve">El sistema muestra el aviso de inicio de sesión con Google antes de pasar al pago</t>
  </si>
  <si>
    <t xml:space="preserve">Crítico</t>
  </si>
  <si>
    <t xml:space="preserve">PF-003</t>
  </si>
  <si>
    <t xml:space="preserve">Alta de paciente nuevo desde Google</t>
  </si>
  <si>
    <t xml:space="preserve">Cuenta de Google sin paciente asociado</t>
  </si>
  <si>
    <t xml:space="preserve">Iniciar sesión con una cuenta de Google no registrada</t>
  </si>
  <si>
    <t xml:space="preserve">Correo de prueba nuevo</t>
  </si>
  <si>
    <t xml:space="preserve">Se crea el registro de paciente vinculado a la identidad de Google</t>
  </si>
  <si>
    <t xml:space="preserve">PF-004</t>
  </si>
  <si>
    <t xml:space="preserve">Solicitud de RUT y teléfono en el primer ingreso</t>
  </si>
  <si>
    <t xml:space="preserve">Paciente nuevo autenticado</t>
  </si>
  <si>
    <t xml:space="preserve">Observar el formulario posterior al inicio de sesión</t>
  </si>
  <si>
    <t xml:space="preserve">El sistema solicita RUT y teléfono antes de continuar al pago</t>
  </si>
  <si>
    <t xml:space="preserve">PF-005</t>
  </si>
  <si>
    <t xml:space="preserve">Precarga de datos en reserva posterior</t>
  </si>
  <si>
    <t xml:space="preserve">Paciente ya registrado con RUT y teléfono</t>
  </si>
  <si>
    <t xml:space="preserve">Iniciar una segunda reserva con la misma cuenta</t>
  </si>
  <si>
    <t xml:space="preserve">RUT y teléfono aparecen precargados y no se vuelven a solicitar</t>
  </si>
  <si>
    <t xml:space="preserve">PF-006</t>
  </si>
  <si>
    <t xml:space="preserve">Rechazo de RUT inválido</t>
  </si>
  <si>
    <t xml:space="preserve">En el paso de datos personales</t>
  </si>
  <si>
    <t xml:space="preserve">Ingresar un RUT con dígito verificador incorrecto</t>
  </si>
  <si>
    <t xml:space="preserve">12.345.678-9</t>
  </si>
  <si>
    <t xml:space="preserve">El sistema rechaza el RUT y no permite continuar</t>
  </si>
  <si>
    <t xml:space="preserve">PF-007</t>
  </si>
  <si>
    <t xml:space="preserve">Token de Google inválido</t>
  </si>
  <si>
    <t xml:space="preserve">Enviar al backend un ID token manipulado</t>
  </si>
  <si>
    <t xml:space="preserve">Token alterado</t>
  </si>
  <si>
    <t xml:space="preserve">El backend rechaza la operación, no crea paciente y no ocupa bloques</t>
  </si>
  <si>
    <t xml:space="preserve">Bloqueante</t>
  </si>
  <si>
    <t xml:space="preserve">Claude</t>
  </si>
  <si>
    <t xml:space="preserve">PF-008</t>
  </si>
  <si>
    <t xml:space="preserve">Sesión expirada al reservar</t>
  </si>
  <si>
    <t xml:space="preserve">Sesión de paciente vencida</t>
  </si>
  <si>
    <t xml:space="preserve">Intentar confirmar una reserva con la sesión vencida</t>
  </si>
  <si>
    <t xml:space="preserve">La operación se rechaza con mensaje claro y los bloques quedan disponibles</t>
  </si>
  <si>
    <t xml:space="preserve">PF-009</t>
  </si>
  <si>
    <t xml:space="preserve">Aviso de tratamiento de datos</t>
  </si>
  <si>
    <t xml:space="preserve">Paciente nuevo</t>
  </si>
  <si>
    <t xml:space="preserve">Completar el alta de cuenta</t>
  </si>
  <si>
    <t xml:space="preserve">Se muestra el aviso de tratamiento de datos y se registra el consentimiento</t>
  </si>
  <si>
    <t xml:space="preserve">PF-010</t>
  </si>
  <si>
    <t xml:space="preserve">AGE-001</t>
  </si>
  <si>
    <t xml:space="preserve">Reserva web</t>
  </si>
  <si>
    <t xml:space="preserve">Orden del flujo</t>
  </si>
  <si>
    <t xml:space="preserve">Formulario habilitado</t>
  </si>
  <si>
    <t xml:space="preserve">Recorrer el flujo de reserva</t>
  </si>
  <si>
    <t xml:space="preserve">El orden es servicio, fecha, hora y finalmente especialista</t>
  </si>
  <si>
    <t xml:space="preserve">PF-011</t>
  </si>
  <si>
    <t xml:space="preserve">Catálogo publicado</t>
  </si>
  <si>
    <t xml:space="preserve">Servicios activos en el panel</t>
  </si>
  <si>
    <t xml:space="preserve">Abrir el selector de servicios</t>
  </si>
  <si>
    <t xml:space="preserve">Se listan todas las categorías al mismo nivel, sin subcategorías</t>
  </si>
  <si>
    <t xml:space="preserve">PF-012</t>
  </si>
  <si>
    <t xml:space="preserve">Servicio inactivo no se ofrece</t>
  </si>
  <si>
    <t xml:space="preserve">Un servicio desactivado en el panel</t>
  </si>
  <si>
    <t xml:space="preserve">Kinesiología inactiva</t>
  </si>
  <si>
    <t xml:space="preserve">El servicio inactivo no aparece en el selector</t>
  </si>
  <si>
    <t xml:space="preserve">PF-013</t>
  </si>
  <si>
    <t xml:space="preserve">Activación de servicio se refleja en el sitio</t>
  </si>
  <si>
    <t xml:space="preserve">Servicio inactivo</t>
  </si>
  <si>
    <t xml:space="preserve">Activarlo en el panel y recargar el sitio</t>
  </si>
  <si>
    <t xml:space="preserve">El servicio aparece disponible para agendamiento sin redesplegar</t>
  </si>
  <si>
    <t xml:space="preserve">PF-014</t>
  </si>
  <si>
    <t xml:space="preserve">Bloques de 30 minutos desde las 09:00</t>
  </si>
  <si>
    <t xml:space="preserve">Horarios cargados</t>
  </si>
  <si>
    <t xml:space="preserve">Abrir el selector de horario</t>
  </si>
  <si>
    <t xml:space="preserve">Los bloques se presentan como rango y comienzan a las 09:00</t>
  </si>
  <si>
    <t xml:space="preserve">PF-015</t>
  </si>
  <si>
    <t xml:space="preserve">Franja 14:00 a 15:00 inexistente</t>
  </si>
  <si>
    <t xml:space="preserve">Revisar la rejilla de cualquier día</t>
  </si>
  <si>
    <t xml:space="preserve">No se genera ningún bloque entre 14:00 y 15:00</t>
  </si>
  <si>
    <t xml:space="preserve">PF-016</t>
  </si>
  <si>
    <t xml:space="preserve">Duración desactivada globalmente</t>
  </si>
  <si>
    <t xml:space="preserve">Interruptor de duración en falso</t>
  </si>
  <si>
    <t xml:space="preserve">Reservar un servicio y elegir un solo bloque</t>
  </si>
  <si>
    <t xml:space="preserve">El sistema permite reservar sin exigir bloques adicionales</t>
  </si>
  <si>
    <t xml:space="preserve">PF-017</t>
  </si>
  <si>
    <t xml:space="preserve">Duración activada, servicio de 60 minutos</t>
  </si>
  <si>
    <t xml:space="preserve">Interruptor activo, servicio con 60 min</t>
  </si>
  <si>
    <t xml:space="preserve">Seleccionar un solo bloque de 30 minutos</t>
  </si>
  <si>
    <t xml:space="preserve">Masajes 60 min</t>
  </si>
  <si>
    <t xml:space="preserve">El sistema informa la duración y exige seleccionar dos bloques consecutivos</t>
  </si>
  <si>
    <t xml:space="preserve">PF-018</t>
  </si>
  <si>
    <t xml:space="preserve">Duración activada, servicio de 90 minutos</t>
  </si>
  <si>
    <t xml:space="preserve">Interruptor activo, servicio con 90 min</t>
  </si>
  <si>
    <t xml:space="preserve">Seleccionar dos bloques</t>
  </si>
  <si>
    <t xml:space="preserve">Masajes Premium 90 min</t>
  </si>
  <si>
    <t xml:space="preserve">El sistema exige el tercer bloque consecutivo</t>
  </si>
  <si>
    <t xml:space="preserve">PF-019</t>
  </si>
  <si>
    <t xml:space="preserve">Bloques no consecutivos</t>
  </si>
  <si>
    <t xml:space="preserve">Interruptor activo, servicio de 60 min</t>
  </si>
  <si>
    <t xml:space="preserve">Seleccionar dos bloques separados por un tercero ocupado</t>
  </si>
  <si>
    <t xml:space="preserve">El sistema rechaza la selección por no ser consecutiva</t>
  </si>
  <si>
    <t xml:space="preserve">PF-020</t>
  </si>
  <si>
    <t xml:space="preserve">Especialistas filtradas por disponibilidad</t>
  </si>
  <si>
    <t xml:space="preserve">Dos especialistas con horarios distintos</t>
  </si>
  <si>
    <t xml:space="preserve">Elegir un bloque cubierto por una sola de ellas</t>
  </si>
  <si>
    <t xml:space="preserve">Bloque 18:30</t>
  </si>
  <si>
    <t xml:space="preserve">Sólo se ofrece la especialista que atiende ese bloque</t>
  </si>
  <si>
    <t xml:space="preserve">PF-021</t>
  </si>
  <si>
    <t xml:space="preserve">Especialista sin el servicio habilitado</t>
  </si>
  <si>
    <t xml:space="preserve">Especialista sin habilitación para el servicio</t>
  </si>
  <si>
    <t xml:space="preserve">Seleccionar ese servicio y un bloque de su horario</t>
  </si>
  <si>
    <t xml:space="preserve">La especialista no se ofrece para ese servicio</t>
  </si>
  <si>
    <t xml:space="preserve">PF-022</t>
  </si>
  <si>
    <t xml:space="preserve">Campo de convenio opcional</t>
  </si>
  <si>
    <t xml:space="preserve">Convenios cargados</t>
  </si>
  <si>
    <t xml:space="preserve">Completar la reserva sin seleccionar convenio</t>
  </si>
  <si>
    <t xml:space="preserve">La reserva se confirma sin exigir convenio</t>
  </si>
  <si>
    <t xml:space="preserve">PF-023</t>
  </si>
  <si>
    <t xml:space="preserve">Campo obligatorio vacío</t>
  </si>
  <si>
    <t xml:space="preserve">En el paso de datos</t>
  </si>
  <si>
    <t xml:space="preserve">Dejar el teléfono vacío y confirmar</t>
  </si>
  <si>
    <t xml:space="preserve">El sistema impide confirmar y señala el campo</t>
  </si>
  <si>
    <t xml:space="preserve">PF-024</t>
  </si>
  <si>
    <t xml:space="preserve">Ocupación de bloques al confirmar</t>
  </si>
  <si>
    <t xml:space="preserve">Reserva confirmada</t>
  </si>
  <si>
    <t xml:space="preserve">Consultar la disponibilidad del mismo bloque desde otro navegador</t>
  </si>
  <si>
    <t xml:space="preserve">Los bloques comprometidos ya no aparecen disponibles</t>
  </si>
  <si>
    <t xml:space="preserve">PF-025</t>
  </si>
  <si>
    <t xml:space="preserve">Error interno libera los bloques</t>
  </si>
  <si>
    <t xml:space="preserve">Simular fallo del servidor al registrar</t>
  </si>
  <si>
    <t xml:space="preserve">Provocar el error y revisar la disponibilidad</t>
  </si>
  <si>
    <t xml:space="preserve">Los bloques permanecen disponibles y se informa al paciente</t>
  </si>
  <si>
    <t xml:space="preserve">PF-026</t>
  </si>
  <si>
    <t xml:space="preserve">Interruptor de reservas desactivado</t>
  </si>
  <si>
    <t xml:space="preserve">Interruptor en falso</t>
  </si>
  <si>
    <t xml:space="preserve">Abrir el sitio público</t>
  </si>
  <si>
    <t xml:space="preserve">El formulario no se muestra y la llamada a la acción dirige al destino configurado</t>
  </si>
  <si>
    <t xml:space="preserve">Jhoan</t>
  </si>
  <si>
    <t xml:space="preserve">PF-027</t>
  </si>
  <si>
    <t xml:space="preserve">Interruptor de reservas reactivado</t>
  </si>
  <si>
    <t xml:space="preserve">Interruptor en verdadero</t>
  </si>
  <si>
    <t xml:space="preserve">El formulario de reserva vuelve a mostrarse y opera con normalidad</t>
  </si>
  <si>
    <t xml:space="preserve">PF-028</t>
  </si>
  <si>
    <t xml:space="preserve">AGE-002</t>
  </si>
  <si>
    <t xml:space="preserve">Pago del anticipo</t>
  </si>
  <si>
    <t xml:space="preserve">Monto del anticipo</t>
  </si>
  <si>
    <t xml:space="preserve">Reserva lista para pagar</t>
  </si>
  <si>
    <t xml:space="preserve">Avanzar al pago</t>
  </si>
  <si>
    <t xml:space="preserve">El monto es de $10.000 CLP para cualquier servicio</t>
  </si>
  <si>
    <t xml:space="preserve">PF-029</t>
  </si>
  <si>
    <t xml:space="preserve">Monto validado en servidor</t>
  </si>
  <si>
    <t xml:space="preserve">Alterar el monto en la petición desde el navegador</t>
  </si>
  <si>
    <t xml:space="preserve">Monto 1000</t>
  </si>
  <si>
    <t xml:space="preserve">El backend rechaza la operación y conserva el monto correcto</t>
  </si>
  <si>
    <t xml:space="preserve">PF-030</t>
  </si>
  <si>
    <t xml:space="preserve">Pago aprobado</t>
  </si>
  <si>
    <t xml:space="preserve">Ambiente de integración</t>
  </si>
  <si>
    <t xml:space="preserve">Pagar con la tarjeta de prueba VISA</t>
  </si>
  <si>
    <t xml:space="preserve">4051 8856 0044 6623</t>
  </si>
  <si>
    <t xml:space="preserve">La cita pasa a Confirmada y los bloques quedan congelados</t>
  </si>
  <si>
    <t xml:space="preserve">PF-031</t>
  </si>
  <si>
    <t xml:space="preserve">Bloques reservados durante el pago</t>
  </si>
  <si>
    <t xml:space="preserve">Pago en curso</t>
  </si>
  <si>
    <t xml:space="preserve">Consultar el bloque desde otro navegador mientras la pasarela está abierta</t>
  </si>
  <si>
    <t xml:space="preserve">El bloque no aparece disponible para otro usuario</t>
  </si>
  <si>
    <t xml:space="preserve">PF-032</t>
  </si>
  <si>
    <t xml:space="preserve">Cancelación en la pasarela</t>
  </si>
  <si>
    <t xml:space="preserve">Abortar el pago dentro de la pasarela</t>
  </si>
  <si>
    <t xml:space="preserve">El sitio devuelve al paciente con mensaje y libera los bloques de inmediato</t>
  </si>
  <si>
    <t xml:space="preserve">PF-033</t>
  </si>
  <si>
    <t xml:space="preserve">Tarjeta rechazada</t>
  </si>
  <si>
    <t xml:space="preserve">Forzar un rechazo de la tarjeta</t>
  </si>
  <si>
    <t xml:space="preserve">La cita no se confirma y los bloques vuelven a estar disponibles</t>
  </si>
  <si>
    <t xml:space="preserve">PF-034</t>
  </si>
  <si>
    <t xml:space="preserve">Abandono sin interacción</t>
  </si>
  <si>
    <t xml:space="preserve">Pago iniciado</t>
  </si>
  <si>
    <t xml:space="preserve">Dejar la pasarela abierta hasta cumplir el tiempo límite</t>
  </si>
  <si>
    <t xml:space="preserve">La cita se marca como expirada y los bloques se liberan automáticamente</t>
  </si>
  <si>
    <t xml:space="preserve">PF-035</t>
  </si>
  <si>
    <t xml:space="preserve">Cierre de ventana tras aprobar</t>
  </si>
  <si>
    <t xml:space="preserve">Cerrar la pestaña antes del retorno al sitio</t>
  </si>
  <si>
    <t xml:space="preserve">La cita queda igualmente Confirmada en el sistema</t>
  </si>
  <si>
    <t xml:space="preserve">PF-036</t>
  </si>
  <si>
    <t xml:space="preserve">Pantalla de confirmación</t>
  </si>
  <si>
    <t xml:space="preserve">Observar la pantalla de retorno</t>
  </si>
  <si>
    <t xml:space="preserve">Muestra especialista, servicio, fecha y hora de la cita</t>
  </si>
  <si>
    <t xml:space="preserve">PF-037</t>
  </si>
  <si>
    <t xml:space="preserve">Derivación a documentos</t>
  </si>
  <si>
    <t xml:space="preserve">Servicio con documento exigido</t>
  </si>
  <si>
    <t xml:space="preserve">Completar el pago</t>
  </si>
  <si>
    <t xml:space="preserve">Tras el pago el sistema deriva a la firma del documento correspondiente</t>
  </si>
  <si>
    <t xml:space="preserve">PF-038</t>
  </si>
  <si>
    <t xml:space="preserve">Caída de la pasarela</t>
  </si>
  <si>
    <t xml:space="preserve">Simular indisponibilidad</t>
  </si>
  <si>
    <t xml:space="preserve">Intentar pagar</t>
  </si>
  <si>
    <t xml:space="preserve">El sistema informa el problema y no deja la cita en estado inconsistente</t>
  </si>
  <si>
    <t xml:space="preserve">PF-039</t>
  </si>
  <si>
    <t xml:space="preserve">Credenciales fuera del navegador</t>
  </si>
  <si>
    <t xml:space="preserve">Inspeccionar el paquete entregado al navegador</t>
  </si>
  <si>
    <t xml:space="preserve">No aparecen credenciales de comercio ni claves de la pasarela</t>
  </si>
  <si>
    <t xml:space="preserve">PF-040</t>
  </si>
  <si>
    <t xml:space="preserve">CON-001</t>
  </si>
  <si>
    <t xml:space="preserve">Lista desplegable</t>
  </si>
  <si>
    <t xml:space="preserve">Abrir el campo de convenio en la reserva</t>
  </si>
  <si>
    <t xml:space="preserve">Se presenta como lista desplegable y no admite texto libre</t>
  </si>
  <si>
    <t xml:space="preserve">PF-041</t>
  </si>
  <si>
    <t xml:space="preserve">Rechazo de convenio inexistente</t>
  </si>
  <si>
    <t xml:space="preserve">Enviar un identificador de empresa inexistente al backend</t>
  </si>
  <si>
    <t xml:space="preserve">id 9999</t>
  </si>
  <si>
    <t xml:space="preserve">El backend rechaza la operación</t>
  </si>
  <si>
    <t xml:space="preserve">PF-042</t>
  </si>
  <si>
    <t xml:space="preserve">Vigencia visible en el listado</t>
  </si>
  <si>
    <t xml:space="preserve">Convenio con vigencia cargada</t>
  </si>
  <si>
    <t xml:space="preserve">Abrir el listado de convenios en el panel</t>
  </si>
  <si>
    <t xml:space="preserve">La vigencia aparece como columna sin abrir el detalle</t>
  </si>
  <si>
    <t xml:space="preserve">PF-043</t>
  </si>
  <si>
    <t xml:space="preserve">Descuento por servicio</t>
  </si>
  <si>
    <t xml:space="preserve">Convenio con descuento en masoterapia y no en kinesiología</t>
  </si>
  <si>
    <t xml:space="preserve">Registrar venta de masoterapia a paciente afiliado</t>
  </si>
  <si>
    <t xml:space="preserve">20% masoterapia</t>
  </si>
  <si>
    <t xml:space="preserve">El descuento se aplica automáticamente</t>
  </si>
  <si>
    <t xml:space="preserve">PF-044</t>
  </si>
  <si>
    <t xml:space="preserve">Servicio sin descuento</t>
  </si>
  <si>
    <t xml:space="preserve">Mismo convenio</t>
  </si>
  <si>
    <t xml:space="preserve">Registrar venta de kinesiología al mismo paciente</t>
  </si>
  <si>
    <t xml:space="preserve">No se aplica descuento</t>
  </si>
  <si>
    <t xml:space="preserve">PF-045</t>
  </si>
  <si>
    <t xml:space="preserve">Convenio con vigencia terminada</t>
  </si>
  <si>
    <t xml:space="preserve">Registrar venta de un paciente afiliado</t>
  </si>
  <si>
    <t xml:space="preserve">No se aplica descuento y la venta se registra al precio pleno</t>
  </si>
  <si>
    <t xml:space="preserve">PF-046</t>
  </si>
  <si>
    <t xml:space="preserve">Ventas anteriores no se alteran</t>
  </si>
  <si>
    <t xml:space="preserve">Ventas registradas con convenio vigente</t>
  </si>
  <si>
    <t xml:space="preserve">Vencer el convenio y revisar las ventas anteriores</t>
  </si>
  <si>
    <t xml:space="preserve">Las ventas previas conservan el descuento aplicado</t>
  </si>
  <si>
    <t xml:space="preserve">PF-047</t>
  </si>
  <si>
    <t xml:space="preserve">Paciente sin convenio</t>
  </si>
  <si>
    <t xml:space="preserve">Paciente sin empresa asociada</t>
  </si>
  <si>
    <t xml:space="preserve">Registrar una venta</t>
  </si>
  <si>
    <t xml:space="preserve">No se aplica descuento alguno</t>
  </si>
  <si>
    <t xml:space="preserve">PF-048</t>
  </si>
  <si>
    <t xml:space="preserve">Descuento visible en la tabla de ventas</t>
  </si>
  <si>
    <t xml:space="preserve">Venta con convenio aplicado</t>
  </si>
  <si>
    <t xml:space="preserve">Abrir el listado de ventas</t>
  </si>
  <si>
    <t xml:space="preserve">El descuento por convenio aparece como primer descuento de la fila</t>
  </si>
  <si>
    <t xml:space="preserve">PF-049</t>
  </si>
  <si>
    <t xml:space="preserve">AUT-002</t>
  </si>
  <si>
    <t xml:space="preserve">Acceso del personal</t>
  </si>
  <si>
    <t xml:space="preserve">Ingreso de administrador</t>
  </si>
  <si>
    <t xml:space="preserve">Cuenta de administrador activa</t>
  </si>
  <si>
    <t xml:space="preserve">Iniciar sesión en el panel</t>
  </si>
  <si>
    <t xml:space="preserve">admin@kinefit.cl</t>
  </si>
  <si>
    <t xml:space="preserve">Accede al panel completo</t>
  </si>
  <si>
    <t xml:space="preserve">PF-050</t>
  </si>
  <si>
    <t xml:space="preserve">Ingreso de especialista</t>
  </si>
  <si>
    <t xml:space="preserve">Cuenta de especialista activa</t>
  </si>
  <si>
    <t xml:space="preserve">Accede sólo a las secciones de su rol</t>
  </si>
  <si>
    <t xml:space="preserve">PF-051</t>
  </si>
  <si>
    <t xml:space="preserve">Credenciales incorrectas</t>
  </si>
  <si>
    <t xml:space="preserve">Intentar ingresar con clave errónea</t>
  </si>
  <si>
    <t xml:space="preserve">El acceso se rechaza sin revelar si el usuario existe</t>
  </si>
  <si>
    <t xml:space="preserve">PF-052</t>
  </si>
  <si>
    <t xml:space="preserve">Especialista no ve reportes</t>
  </si>
  <si>
    <t xml:space="preserve">Sesión de especialista</t>
  </si>
  <si>
    <t xml:space="preserve">Intentar abrir la sección de reportes</t>
  </si>
  <si>
    <t xml:space="preserve">El acceso se rechaza</t>
  </si>
  <si>
    <t xml:space="preserve">PF-053</t>
  </si>
  <si>
    <t xml:space="preserve">Especialista no ve configuración global</t>
  </si>
  <si>
    <t xml:space="preserve">Intentar abrir la configuración del sitio</t>
  </si>
  <si>
    <t xml:space="preserve">El acceso se rechaza; sólo alcanza su propio horario</t>
  </si>
  <si>
    <t xml:space="preserve">PF-054</t>
  </si>
  <si>
    <t xml:space="preserve">Acceso cruzado entre especialistas</t>
  </si>
  <si>
    <t xml:space="preserve">Dos especialistas con citas propias</t>
  </si>
  <si>
    <t xml:space="preserve">Solicitar por API una cita de la otra especialista</t>
  </si>
  <si>
    <t xml:space="preserve">La petición se rechaza con 403</t>
  </si>
  <si>
    <t xml:space="preserve">PF-055</t>
  </si>
  <si>
    <t xml:space="preserve">Paciente no accede al panel</t>
  </si>
  <si>
    <t xml:space="preserve">Sesión de paciente</t>
  </si>
  <si>
    <t xml:space="preserve">Solicitar un endpoint del panel con el token de paciente</t>
  </si>
  <si>
    <t xml:space="preserve">PF-056</t>
  </si>
  <si>
    <t xml:space="preserve">Creación de cuenta por el administrador</t>
  </si>
  <si>
    <t xml:space="preserve">Sesión de administrador</t>
  </si>
  <si>
    <t xml:space="preserve">Crear una cuenta de especialista</t>
  </si>
  <si>
    <t xml:space="preserve">La cuenta se crea y queda marcada para cambio de contraseña</t>
  </si>
  <si>
    <t xml:space="preserve">PF-057</t>
  </si>
  <si>
    <t xml:space="preserve">Cambio obligatorio de contraseña</t>
  </si>
  <si>
    <t xml:space="preserve">Cuenta recién creada</t>
  </si>
  <si>
    <t xml:space="preserve">Iniciar sesión por primera vez</t>
  </si>
  <si>
    <t xml:space="preserve">El sistema exige cambiar la contraseña antes de continuar</t>
  </si>
  <si>
    <t xml:space="preserve">PF-058</t>
  </si>
  <si>
    <t xml:space="preserve">Desactivación de cuenta</t>
  </si>
  <si>
    <t xml:space="preserve">Cuenta activa con historial</t>
  </si>
  <si>
    <t xml:space="preserve">Desactivarla y volver a intentar el ingreso</t>
  </si>
  <si>
    <t xml:space="preserve">No puede iniciar sesión y su identidad se conserva en la auditoría</t>
  </si>
  <si>
    <t xml:space="preserve">PF-059</t>
  </si>
  <si>
    <t xml:space="preserve">Registro de firma en el perfil</t>
  </si>
  <si>
    <t xml:space="preserve">Registrar la firma en el perfil</t>
  </si>
  <si>
    <t xml:space="preserve">Trazo con mouse</t>
  </si>
  <si>
    <t xml:space="preserve">La firma queda guardada y disponible para estampar documentos</t>
  </si>
  <si>
    <t xml:space="preserve">PF-060</t>
  </si>
  <si>
    <t xml:space="preserve">Contraseña nunca en claro</t>
  </si>
  <si>
    <t xml:space="preserve">Cuenta creada</t>
  </si>
  <si>
    <t xml:space="preserve">Consultar el registro del usuario en la base</t>
  </si>
  <si>
    <t xml:space="preserve">La contraseña está almacenada con hash y no en texto plano</t>
  </si>
  <si>
    <t xml:space="preserve">PF-061</t>
  </si>
  <si>
    <t xml:space="preserve">AGE-003</t>
  </si>
  <si>
    <t xml:space="preserve">Agenda</t>
  </si>
  <si>
    <t xml:space="preserve">Vista individual</t>
  </si>
  <si>
    <t xml:space="preserve">Citas cargadas</t>
  </si>
  <si>
    <t xml:space="preserve">Abrir la agenda en modo individual</t>
  </si>
  <si>
    <t xml:space="preserve">Se muestra la agenda de una sola especialista</t>
  </si>
  <si>
    <t xml:space="preserve">PF-062</t>
  </si>
  <si>
    <t xml:space="preserve">Vista comparativa</t>
  </si>
  <si>
    <t xml:space="preserve">Tres especialistas con citas</t>
  </si>
  <si>
    <t xml:space="preserve">Abrir la agenda en modo comparativo</t>
  </si>
  <si>
    <t xml:space="preserve">Se muestran las especialistas en columnas paralelas</t>
  </si>
  <si>
    <t xml:space="preserve">PF-063</t>
  </si>
  <si>
    <t xml:space="preserve">Filtro por especialista y fechas</t>
  </si>
  <si>
    <t xml:space="preserve">Citas en distintas fechas</t>
  </si>
  <si>
    <t xml:space="preserve">Aplicar filtros como administrador</t>
  </si>
  <si>
    <t xml:space="preserve">El listado responde a ambos filtros</t>
  </si>
  <si>
    <t xml:space="preserve">PF-064</t>
  </si>
  <si>
    <t xml:space="preserve">Cambio manual de estado</t>
  </si>
  <si>
    <t xml:space="preserve">Cita confirmada</t>
  </si>
  <si>
    <t xml:space="preserve">Cambiar el estado a Cancelada</t>
  </si>
  <si>
    <t xml:space="preserve">El estado cambia y se solicita motivo</t>
  </si>
  <si>
    <t xml:space="preserve">PF-065</t>
  </si>
  <si>
    <t xml:space="preserve">Advertencia de anticipo al cancelar</t>
  </si>
  <si>
    <t xml:space="preserve">Cancelarla</t>
  </si>
  <si>
    <t xml:space="preserve">El sistema advierte del anticipo y de verificar la devolución</t>
  </si>
  <si>
    <t xml:space="preserve">PF-066</t>
  </si>
  <si>
    <t xml:space="preserve">Auditoría del cambio de estado</t>
  </si>
  <si>
    <t xml:space="preserve">Cambio realizado</t>
  </si>
  <si>
    <t xml:space="preserve">Consultar la auditoría de la cita</t>
  </si>
  <si>
    <t xml:space="preserve">Queda registrada fecha, motivo e identidad individual</t>
  </si>
  <si>
    <t xml:space="preserve">PF-067</t>
  </si>
  <si>
    <t xml:space="preserve">Cita con pago en curso no editable</t>
  </si>
  <si>
    <t xml:space="preserve">Cita en proceso de pago</t>
  </si>
  <si>
    <t xml:space="preserve">Intentar cambiar su estado manualmente</t>
  </si>
  <si>
    <t xml:space="preserve">El sistema lo impide</t>
  </si>
  <si>
    <t xml:space="preserve">PF-068</t>
  </si>
  <si>
    <t xml:space="preserve">Datos de contacto en el detalle</t>
  </si>
  <si>
    <t xml:space="preserve">Abrir el detalle</t>
  </si>
  <si>
    <t xml:space="preserve">Se muestran los datos de contacto del paciente y el identificador de pago</t>
  </si>
  <si>
    <t xml:space="preserve">PF-069</t>
  </si>
  <si>
    <t xml:space="preserve">Especialista no modifica cita ajena</t>
  </si>
  <si>
    <t xml:space="preserve">Intentar modificar una cita de otra especialista desde la vista comparativa</t>
  </si>
  <si>
    <t xml:space="preserve">La acción no está disponible y el backend la rechaza</t>
  </si>
  <si>
    <t xml:space="preserve">PF-070</t>
  </si>
  <si>
    <t xml:space="preserve">Hitos operativos en el detalle</t>
  </si>
  <si>
    <t xml:space="preserve">Cita con pago y documento</t>
  </si>
  <si>
    <t xml:space="preserve">Se muestran los cuatro hitos: anticipo, pago total, documentos y recomendaciones</t>
  </si>
  <si>
    <t xml:space="preserve">PF-071</t>
  </si>
  <si>
    <t xml:space="preserve">Correo al cambiar el estado</t>
  </si>
  <si>
    <t xml:space="preserve">Cambiar el estado y revisar el correo del paciente</t>
  </si>
  <si>
    <t xml:space="preserve">El paciente recibe la notificación del cambio</t>
  </si>
  <si>
    <t xml:space="preserve">PF-072</t>
  </si>
  <si>
    <t xml:space="preserve">AGE-004</t>
  </si>
  <si>
    <t xml:space="preserve">Horarios</t>
  </si>
  <si>
    <t xml:space="preserve">Horario del centro</t>
  </si>
  <si>
    <t xml:space="preserve">Editar el horario de atención del centro</t>
  </si>
  <si>
    <t xml:space="preserve">El cambio se guarda y se refleja en la generación de bloques</t>
  </si>
  <si>
    <t xml:space="preserve">PF-073</t>
  </si>
  <si>
    <t xml:space="preserve">Plantilla por especialista</t>
  </si>
  <si>
    <t xml:space="preserve">Definir horarios distintos para dos especialistas</t>
  </si>
  <si>
    <t xml:space="preserve">Cada una genera sus propios bloques</t>
  </si>
  <si>
    <t xml:space="preserve">PF-074</t>
  </si>
  <si>
    <t xml:space="preserve">Especialista edita su horario</t>
  </si>
  <si>
    <t xml:space="preserve">Modificar su propio horario</t>
  </si>
  <si>
    <t xml:space="preserve">El cambio se guarda</t>
  </si>
  <si>
    <t xml:space="preserve">PF-075</t>
  </si>
  <si>
    <t xml:space="preserve">Especialista no edita horario ajeno</t>
  </si>
  <si>
    <t xml:space="preserve">Intentar modificar el horario de otra</t>
  </si>
  <si>
    <t xml:space="preserve">La acción se rechaza</t>
  </si>
  <si>
    <t xml:space="preserve">PF-076</t>
  </si>
  <si>
    <t xml:space="preserve">Más de un tramo por día</t>
  </si>
  <si>
    <t xml:space="preserve">Cargar dos tramos en un mismo día</t>
  </si>
  <si>
    <t xml:space="preserve">09:00-13:00 y 15:00-19:00</t>
  </si>
  <si>
    <t xml:space="preserve">Ambos tramos generan bloques</t>
  </si>
  <si>
    <t xml:space="preserve">PF-077</t>
  </si>
  <si>
    <t xml:space="preserve">Citas confirmadas no se alteran</t>
  </si>
  <si>
    <t xml:space="preserve">Cita confirmada fuera del nuevo rango</t>
  </si>
  <si>
    <t xml:space="preserve">Reducir la plantilla y guardar</t>
  </si>
  <si>
    <t xml:space="preserve">El sistema advierte antes de aplicar y la cita confirmada se conserva</t>
  </si>
  <si>
    <t xml:space="preserve">PF-078</t>
  </si>
  <si>
    <t xml:space="preserve">Plantilla limita el sitio público</t>
  </si>
  <si>
    <t xml:space="preserve">Especialista con horario acotado</t>
  </si>
  <si>
    <t xml:space="preserve">Consultar disponibilidad en el sitio</t>
  </si>
  <si>
    <t xml:space="preserve">Sólo se ofrecen bloques dentro de su plantilla</t>
  </si>
  <si>
    <t xml:space="preserve">PF-079</t>
  </si>
  <si>
    <t xml:space="preserve">AGE-005</t>
  </si>
  <si>
    <t xml:space="preserve">Bloqueo de un día completo</t>
  </si>
  <si>
    <t xml:space="preserve">Registrar un cierre total de un día</t>
  </si>
  <si>
    <t xml:space="preserve">Ningún bloque de ese día aparece disponible en el sitio</t>
  </si>
  <si>
    <t xml:space="preserve">PF-080</t>
  </si>
  <si>
    <t xml:space="preserve">Bloqueo parcial</t>
  </si>
  <si>
    <t xml:space="preserve">Bloquear una franja del día</t>
  </si>
  <si>
    <t xml:space="preserve">15:00-17:00</t>
  </si>
  <si>
    <t xml:space="preserve">Sólo esa franja deja de ofrecerse</t>
  </si>
  <si>
    <t xml:space="preserve">PF-081</t>
  </si>
  <si>
    <t xml:space="preserve">Precedencia sobre la plantilla</t>
  </si>
  <si>
    <t xml:space="preserve">Bloqueo dentro del horario de la especialista</t>
  </si>
  <si>
    <t xml:space="preserve">Consultar el sitio</t>
  </si>
  <si>
    <t xml:space="preserve">El bloqueo prevalece y el bloque no se ofrece</t>
  </si>
  <si>
    <t xml:space="preserve">PF-082</t>
  </si>
  <si>
    <t xml:space="preserve">Advertencia de citas confirmadas</t>
  </si>
  <si>
    <t xml:space="preserve">Citas confirmadas en el rango</t>
  </si>
  <si>
    <t xml:space="preserve">Registrar el bloqueo</t>
  </si>
  <si>
    <t xml:space="preserve">El sistema lista las citas afectadas y advierte antes de aplicar</t>
  </si>
  <si>
    <t xml:space="preserve">PF-083</t>
  </si>
  <si>
    <t xml:space="preserve">Motivo público en el sitio</t>
  </si>
  <si>
    <t xml:space="preserve">El motivo público se muestra al paciente</t>
  </si>
  <si>
    <t xml:space="preserve">PF-084</t>
  </si>
  <si>
    <t xml:space="preserve">Motivo interno no expuesto</t>
  </si>
  <si>
    <t xml:space="preserve">Consultar el sitio y la respuesta del API público</t>
  </si>
  <si>
    <t xml:space="preserve">El motivo interno no aparece en ninguna respuesta pública</t>
  </si>
  <si>
    <t xml:space="preserve">PF-085</t>
  </si>
  <si>
    <t xml:space="preserve">Reversión del bloqueo</t>
  </si>
  <si>
    <t xml:space="preserve">Bloqueo activo</t>
  </si>
  <si>
    <t xml:space="preserve">Revertirlo</t>
  </si>
  <si>
    <t xml:space="preserve">Los bloques vuelven a estar disponibles y queda traza del bloqueo</t>
  </si>
  <si>
    <t xml:space="preserve">PF-086</t>
  </si>
  <si>
    <t xml:space="preserve">Auditoría del bloqueo</t>
  </si>
  <si>
    <t xml:space="preserve">Bloqueo creado</t>
  </si>
  <si>
    <t xml:space="preserve">Consultar la auditoría</t>
  </si>
  <si>
    <t xml:space="preserve">Queda registrada la identidad de quien lo ejecutó</t>
  </si>
  <si>
    <t xml:space="preserve">PF-087</t>
  </si>
  <si>
    <t xml:space="preserve">FIC-001</t>
  </si>
  <si>
    <t xml:space="preserve">Ficha clínica</t>
  </si>
  <si>
    <t xml:space="preserve">Creación desde una cita</t>
  </si>
  <si>
    <t xml:space="preserve">Crear la ficha desde el detalle de la cita</t>
  </si>
  <si>
    <t xml:space="preserve">La ficha se guarda asociada a esa cita</t>
  </si>
  <si>
    <t xml:space="preserve">PF-088</t>
  </si>
  <si>
    <t xml:space="preserve">Una sola ficha por cita</t>
  </si>
  <si>
    <t xml:space="preserve">Cita con ficha existente</t>
  </si>
  <si>
    <t xml:space="preserve">Intentar crear una segunda ficha</t>
  </si>
  <si>
    <t xml:space="preserve">PF-089</t>
  </si>
  <si>
    <t xml:space="preserve">No se crea ficha sin cita</t>
  </si>
  <si>
    <t xml:space="preserve">Intentar crear una ficha sin seleccionar reserva</t>
  </si>
  <si>
    <t xml:space="preserve">PF-090</t>
  </si>
  <si>
    <t xml:space="preserve">Reservas sin duplicados en el selector</t>
  </si>
  <si>
    <t xml:space="preserve">Paciente con una reserva</t>
  </si>
  <si>
    <t xml:space="preserve">Abrir el selector de reservas del paciente</t>
  </si>
  <si>
    <t xml:space="preserve">La reserva aparece una sola vez</t>
  </si>
  <si>
    <t xml:space="preserve">PF-091</t>
  </si>
  <si>
    <t xml:space="preserve">Búsqueda por nombre y RUT</t>
  </si>
  <si>
    <t xml:space="preserve">Pacientes cargados</t>
  </si>
  <si>
    <t xml:space="preserve">Buscar por ambos criterios</t>
  </si>
  <si>
    <t xml:space="preserve">El buscador devuelve el paciente correcto</t>
  </si>
  <si>
    <t xml:space="preserve">PF-092</t>
  </si>
  <si>
    <t xml:space="preserve">Indicador de reservas con ficha</t>
  </si>
  <si>
    <t xml:space="preserve">Paciente con dos reservas, una con ficha</t>
  </si>
  <si>
    <t xml:space="preserve">Abrir el listado</t>
  </si>
  <si>
    <t xml:space="preserve">Se distingue cuál tiene ficha y cuál no</t>
  </si>
  <si>
    <t xml:space="preserve">PF-093</t>
  </si>
  <si>
    <t xml:space="preserve">Campos obligatorios</t>
  </si>
  <si>
    <t xml:space="preserve">Formato con campo obligatorio</t>
  </si>
  <si>
    <t xml:space="preserve">Guardar dejándolo vacío</t>
  </si>
  <si>
    <t xml:space="preserve">El sistema impide guardar y señala el campo</t>
  </si>
  <si>
    <t xml:space="preserve">PF-094</t>
  </si>
  <si>
    <t xml:space="preserve">Validación por tipo de dato</t>
  </si>
  <si>
    <t xml:space="preserve">Formato con campo numérico</t>
  </si>
  <si>
    <t xml:space="preserve">Ingresar texto en el campo numérico</t>
  </si>
  <si>
    <t xml:space="preserve">abc</t>
  </si>
  <si>
    <t xml:space="preserve">El sistema rechaza el valor</t>
  </si>
  <si>
    <t xml:space="preserve">PF-095</t>
  </si>
  <si>
    <t xml:space="preserve">Autor y fecha automáticos</t>
  </si>
  <si>
    <t xml:space="preserve">Ficha creada</t>
  </si>
  <si>
    <t xml:space="preserve">Abrir la ficha</t>
  </si>
  <si>
    <t xml:space="preserve">Se registran automáticamente el profesional y la fecha de creación</t>
  </si>
  <si>
    <t xml:space="preserve">PF-096</t>
  </si>
  <si>
    <t xml:space="preserve">Paciente no accede a la ficha</t>
  </si>
  <si>
    <t xml:space="preserve">Solicitar la ficha con un token de paciente</t>
  </si>
  <si>
    <t xml:space="preserve">La petición se rechaza</t>
  </si>
  <si>
    <t xml:space="preserve">PF-097</t>
  </si>
  <si>
    <t xml:space="preserve">Vinculación por RUT</t>
  </si>
  <si>
    <t xml:space="preserve">Paciente creado manualmente</t>
  </si>
  <si>
    <t xml:space="preserve">Iniciar sesión con Google usando el mismo RUT</t>
  </si>
  <si>
    <t xml:space="preserve">Los registros se vinculan sin duplicar el paciente</t>
  </si>
  <si>
    <t xml:space="preserve">PF-098</t>
  </si>
  <si>
    <t xml:space="preserve">FIC-002</t>
  </si>
  <si>
    <t xml:space="preserve">Historial cronológico</t>
  </si>
  <si>
    <t xml:space="preserve">Paciente con varias fichas</t>
  </si>
  <si>
    <t xml:space="preserve">Abrir una ficha</t>
  </si>
  <si>
    <t xml:space="preserve">Se presenta el historial anterior en orden cronológico con acceso a cada una</t>
  </si>
  <si>
    <t xml:space="preserve">PF-099</t>
  </si>
  <si>
    <t xml:space="preserve">Edición con auditoría</t>
  </si>
  <si>
    <t xml:space="preserve">Ficha guardada</t>
  </si>
  <si>
    <t xml:space="preserve">Editarla y revisar la auditoría</t>
  </si>
  <si>
    <t xml:space="preserve">El cambio queda registrado con identidad individual</t>
  </si>
  <si>
    <t xml:space="preserve">PF-100</t>
  </si>
  <si>
    <t xml:space="preserve">Impresión en pestaña aparte</t>
  </si>
  <si>
    <t xml:space="preserve">Usar la acción de impresión</t>
  </si>
  <si>
    <t xml:space="preserve">El documento se abre en una pestaña aparte</t>
  </si>
  <si>
    <t xml:space="preserve">PF-101</t>
  </si>
  <si>
    <t xml:space="preserve">Exportación a PDF</t>
  </si>
  <si>
    <t xml:space="preserve">Exportar a PDF</t>
  </si>
  <si>
    <t xml:space="preserve">El PDF incluye identidad visual y datos del paciente</t>
  </si>
  <si>
    <t xml:space="preserve">PF-102</t>
  </si>
  <si>
    <t xml:space="preserve">Adjuntar PDF</t>
  </si>
  <si>
    <t xml:space="preserve">Adjuntar un archivo PDF</t>
  </si>
  <si>
    <t xml:space="preserve">Documento de prueba</t>
  </si>
  <si>
    <t xml:space="preserve">El adjunto se guarda y se visualiza en la ficha</t>
  </si>
  <si>
    <t xml:space="preserve">PF-103</t>
  </si>
  <si>
    <t xml:space="preserve">Adjuntar imagen</t>
  </si>
  <si>
    <t xml:space="preserve">Adjuntar una imagen</t>
  </si>
  <si>
    <t xml:space="preserve">JPG de prueba</t>
  </si>
  <si>
    <t xml:space="preserve">PF-104</t>
  </si>
  <si>
    <t xml:space="preserve">Descarga del adjunto</t>
  </si>
  <si>
    <t xml:space="preserve">Adjunto cargado</t>
  </si>
  <si>
    <t xml:space="preserve">Descargarlo desde la ficha</t>
  </si>
  <si>
    <t xml:space="preserve">La descarga funciona y exige sesión válida</t>
  </si>
  <si>
    <t xml:space="preserve">PF-105</t>
  </si>
  <si>
    <t xml:space="preserve">Validación por contenido real</t>
  </si>
  <si>
    <t xml:space="preserve">Renombrar un ejecutable a .pdf e intentar adjuntarlo</t>
  </si>
  <si>
    <t xml:space="preserve">archivo.pdf falso</t>
  </si>
  <si>
    <t xml:space="preserve">El sistema lo rechaza al inspeccionar el contenido</t>
  </si>
  <si>
    <t xml:space="preserve">PF-106</t>
  </si>
  <si>
    <t xml:space="preserve">Ruta de adjunto no predecible</t>
  </si>
  <si>
    <t xml:space="preserve">Intentar acceder a la ruta del archivo sin sesión</t>
  </si>
  <si>
    <t xml:space="preserve">El acceso se rechaza y la ruta no es derivable del nombre</t>
  </si>
  <si>
    <t xml:space="preserve">PF-107</t>
  </si>
  <si>
    <t xml:space="preserve">Aviso de privacidad</t>
  </si>
  <si>
    <t xml:space="preserve">Ficha abierta</t>
  </si>
  <si>
    <t xml:space="preserve">Observar la vista</t>
  </si>
  <si>
    <t xml:space="preserve">Se advierte de forma visible que el contenido es privado</t>
  </si>
  <si>
    <t xml:space="preserve">PF-108</t>
  </si>
  <si>
    <t xml:space="preserve">FIC-003</t>
  </si>
  <si>
    <t xml:space="preserve">Creación por constructor</t>
  </si>
  <si>
    <t xml:space="preserve">Sesión autorizada</t>
  </si>
  <si>
    <t xml:space="preserve">Crear un formato con dos secciones y tres campos</t>
  </si>
  <si>
    <t xml:space="preserve">El formato se guarda y aparece en el catálogo</t>
  </si>
  <si>
    <t xml:space="preserve">PF-109</t>
  </si>
  <si>
    <t xml:space="preserve">Persistencia tras recargar</t>
  </si>
  <si>
    <t xml:space="preserve">Formato creado</t>
  </si>
  <si>
    <t xml:space="preserve">Recargar el panel</t>
  </si>
  <si>
    <t xml:space="preserve">El formato sigue existiendo</t>
  </si>
  <si>
    <t xml:space="preserve">PF-110</t>
  </si>
  <si>
    <t xml:space="preserve">Persistencia tras redespliegue</t>
  </si>
  <si>
    <t xml:space="preserve">Redesplegar la aplicación</t>
  </si>
  <si>
    <t xml:space="preserve">PF-111</t>
  </si>
  <si>
    <t xml:space="preserve">Tipos de campo</t>
  </si>
  <si>
    <t xml:space="preserve">Constructor abierto</t>
  </si>
  <si>
    <t xml:space="preserve">Crear un campo de cada tipo</t>
  </si>
  <si>
    <t xml:space="preserve">Texto corto, largo, número, fecha, selección</t>
  </si>
  <si>
    <t xml:space="preserve">Los cinco tipos se guardan y validan correctamente</t>
  </si>
  <si>
    <t xml:space="preserve">PF-112</t>
  </si>
  <si>
    <t xml:space="preserve">Campo de selección con opciones</t>
  </si>
  <si>
    <t xml:space="preserve">Definir opciones de un campo de selección</t>
  </si>
  <si>
    <t xml:space="preserve">Las opciones se guardan y se ofrecen al completar</t>
  </si>
  <si>
    <t xml:space="preserve">PF-113</t>
  </si>
  <si>
    <t xml:space="preserve">Quién completa cada campo</t>
  </si>
  <si>
    <t xml:space="preserve">Marcar un campo como del paciente y otro del profesional</t>
  </si>
  <si>
    <t xml:space="preserve">La marca se guarda y determina quién lo ve</t>
  </si>
  <si>
    <t xml:space="preserve">PF-114</t>
  </si>
  <si>
    <t xml:space="preserve">Recuadros de firma</t>
  </si>
  <si>
    <t xml:space="preserve">Declarar firma de paciente y de profesional</t>
  </si>
  <si>
    <t xml:space="preserve">Ambos recuadros quedan declarados en el formato</t>
  </si>
  <si>
    <t xml:space="preserve">PF-115</t>
  </si>
  <si>
    <t xml:space="preserve">Carga desde documento externo</t>
  </si>
  <si>
    <t xml:space="preserve">Documento Word disponible</t>
  </si>
  <si>
    <t xml:space="preserve">Subirlo como formato</t>
  </si>
  <si>
    <t xml:space="preserve">Consentimiento de prueba</t>
  </si>
  <si>
    <t xml:space="preserve">El formato se crea conservando la presentación del documento</t>
  </si>
  <si>
    <t xml:space="preserve">PF-116</t>
  </si>
  <si>
    <t xml:space="preserve">Vista previa</t>
  </si>
  <si>
    <t xml:space="preserve">Abrir la vista previa</t>
  </si>
  <si>
    <t xml:space="preserve">Se muestra cómo quedará al completarse</t>
  </si>
  <si>
    <t xml:space="preserve">PF-117</t>
  </si>
  <si>
    <t xml:space="preserve">Versionado</t>
  </si>
  <si>
    <t xml:space="preserve">Formato con documentos creados</t>
  </si>
  <si>
    <t xml:space="preserve">Modificar el formato</t>
  </si>
  <si>
    <t xml:space="preserve">Se genera una versión nueva y los documentos previos conservan la suya</t>
  </si>
  <si>
    <t xml:space="preserve">PF-118</t>
  </si>
  <si>
    <t xml:space="preserve">Advertencia al modificar en uso</t>
  </si>
  <si>
    <t xml:space="preserve">Formato con documentos asociados</t>
  </si>
  <si>
    <t xml:space="preserve">Intentar modificarlo</t>
  </si>
  <si>
    <t xml:space="preserve">El sistema advierte cuántos documentos se verían afectados</t>
  </si>
  <si>
    <t xml:space="preserve">PF-119</t>
  </si>
  <si>
    <t xml:space="preserve">Eliminación bloqueada</t>
  </si>
  <si>
    <t xml:space="preserve">Intentar eliminarlo</t>
  </si>
  <si>
    <t xml:space="preserve">El sistema lo impide y ofrece desactivar</t>
  </si>
  <si>
    <t xml:space="preserve">PF-120</t>
  </si>
  <si>
    <t xml:space="preserve">DOC-001</t>
  </si>
  <si>
    <t xml:space="preserve">Documentos</t>
  </si>
  <si>
    <t xml:space="preserve">Asignación de documento a servicio</t>
  </si>
  <si>
    <t xml:space="preserve">Asignarlo a un servicio desde configuración</t>
  </si>
  <si>
    <t xml:space="preserve">El servicio queda con el documento exigido</t>
  </si>
  <si>
    <t xml:space="preserve">PF-121</t>
  </si>
  <si>
    <t xml:space="preserve">Más de un documento por servicio</t>
  </si>
  <si>
    <t xml:space="preserve">Dos formatos creados</t>
  </si>
  <si>
    <t xml:space="preserve">Asignar ambos a un mismo servicio</t>
  </si>
  <si>
    <t xml:space="preserve">El servicio exige los dos documentos</t>
  </si>
  <si>
    <t xml:space="preserve">PF-122</t>
  </si>
  <si>
    <t xml:space="preserve">Acceso directo para crear formato</t>
  </si>
  <si>
    <t xml:space="preserve">Servicio sin formato disponible</t>
  </si>
  <si>
    <t xml:space="preserve">Abrir la asignación de documentos</t>
  </si>
  <si>
    <t xml:space="preserve">El sistema ofrece el acceso para crear un formato</t>
  </si>
  <si>
    <t xml:space="preserve">Menor</t>
  </si>
  <si>
    <t xml:space="preserve">PF-123</t>
  </si>
  <si>
    <t xml:space="preserve">Momento tras confirmar reserva</t>
  </si>
  <si>
    <t xml:space="preserve">Documento configurado para antes de la cita</t>
  </si>
  <si>
    <t xml:space="preserve">Completar una reserva y pagar</t>
  </si>
  <si>
    <t xml:space="preserve">El documento se solicita después del pago y no antes</t>
  </si>
  <si>
    <t xml:space="preserve">PF-124</t>
  </si>
  <si>
    <t xml:space="preserve">Documento en pantalla tras el pago</t>
  </si>
  <si>
    <t xml:space="preserve">Observar el retorno de la pasarela</t>
  </si>
  <si>
    <t xml:space="preserve">El documento se presenta en pantalla para leerlo y firmarlo</t>
  </si>
  <si>
    <t xml:space="preserve">PF-125</t>
  </si>
  <si>
    <t xml:space="preserve">Correo de respaldo con enlace</t>
  </si>
  <si>
    <t xml:space="preserve">Revisar el correo del paciente</t>
  </si>
  <si>
    <t xml:space="preserve">Llega un correo con enlace a la página de firma, sin archivo adjunto</t>
  </si>
  <si>
    <t xml:space="preserve">PF-126</t>
  </si>
  <si>
    <t xml:space="preserve">Firma del paciente</t>
  </si>
  <si>
    <t xml:space="preserve">Documento abierto</t>
  </si>
  <si>
    <t xml:space="preserve">Completar los campos y firmar en el recuadro</t>
  </si>
  <si>
    <t xml:space="preserve">Trazo con el dedo</t>
  </si>
  <si>
    <t xml:space="preserve">El documento queda firmado y registrado</t>
  </si>
  <si>
    <t xml:space="preserve">PF-127</t>
  </si>
  <si>
    <t xml:space="preserve">Paciente no puede descargar</t>
  </si>
  <si>
    <t xml:space="preserve">Buscar la opción de descarga</t>
  </si>
  <si>
    <t xml:space="preserve">No existe opción de descarga ni exportación para el paciente</t>
  </si>
  <si>
    <t xml:space="preserve">PF-128</t>
  </si>
  <si>
    <t xml:space="preserve">Enlace de un solo uso</t>
  </si>
  <si>
    <t xml:space="preserve">Enlace ya utilizado</t>
  </si>
  <si>
    <t xml:space="preserve">Abrirlo por segunda vez</t>
  </si>
  <si>
    <t xml:space="preserve">El enlace ya no es válido</t>
  </si>
  <si>
    <t xml:space="preserve">PF-129</t>
  </si>
  <si>
    <t xml:space="preserve">Enlace expirado</t>
  </si>
  <si>
    <t xml:space="preserve">Enlace vencido</t>
  </si>
  <si>
    <t xml:space="preserve">Abrirlo</t>
  </si>
  <si>
    <t xml:space="preserve">El sistema rechaza el acceso</t>
  </si>
  <si>
    <t xml:space="preserve">PF-130</t>
  </si>
  <si>
    <t xml:space="preserve">Firma del profesional posterior</t>
  </si>
  <si>
    <t xml:space="preserve">Documento firmado por el paciente</t>
  </si>
  <si>
    <t xml:space="preserve">Firmar como profesional desde el panel</t>
  </si>
  <si>
    <t xml:space="preserve">La firma se estampa desde el perfil y queda posterior a la del paciente</t>
  </si>
  <si>
    <t xml:space="preserve">PF-131</t>
  </si>
  <si>
    <t xml:space="preserve">Estampa sólo con el trazo</t>
  </si>
  <si>
    <t xml:space="preserve">Documento firmado por ambos</t>
  </si>
  <si>
    <t xml:space="preserve">Abrir el documento resultante</t>
  </si>
  <si>
    <t xml:space="preserve">Sólo aparece el trazo; fecha, hora e identidad quedan en el registro</t>
  </si>
  <si>
    <t xml:space="preserve">PF-132</t>
  </si>
  <si>
    <t xml:space="preserve">Copia congelada</t>
  </si>
  <si>
    <t xml:space="preserve">Documento firmado</t>
  </si>
  <si>
    <t xml:space="preserve">Publicar una versión nueva del formato y reabrir el documento firmado</t>
  </si>
  <si>
    <t xml:space="preserve">El documento firmado conserva el contenido original</t>
  </si>
  <si>
    <t xml:space="preserve">PF-133</t>
  </si>
  <si>
    <t xml:space="preserve">La cita no se bloquea</t>
  </si>
  <si>
    <t xml:space="preserve">Documento pendiente</t>
  </si>
  <si>
    <t xml:space="preserve">Atender la cita y marcarla como atendida</t>
  </si>
  <si>
    <t xml:space="preserve">La atención se completa sin exigir el documento</t>
  </si>
  <si>
    <t xml:space="preserve">PF-134</t>
  </si>
  <si>
    <t xml:space="preserve">Carga de documento en papel</t>
  </si>
  <si>
    <t xml:space="preserve">Subir el escaneo desde el detalle de la cita</t>
  </si>
  <si>
    <t xml:space="preserve">PDF firmado</t>
  </si>
  <si>
    <t xml:space="preserve">El documento queda asociado con origen escaneo y autor de carga</t>
  </si>
  <si>
    <t xml:space="preserve">PF-135</t>
  </si>
  <si>
    <t xml:space="preserve">Carga desde foto</t>
  </si>
  <si>
    <t xml:space="preserve">Subir una fotografía del documento</t>
  </si>
  <si>
    <t xml:space="preserve">JPG</t>
  </si>
  <si>
    <t xml:space="preserve">El sistema la acepta y la asocia a la cita</t>
  </si>
  <si>
    <t xml:space="preserve">PF-136</t>
  </si>
  <si>
    <t xml:space="preserve">Sin firma digital en escaneo</t>
  </si>
  <si>
    <t xml:space="preserve">Documento cargado en papel</t>
  </si>
  <si>
    <t xml:space="preserve">Revisar el estado</t>
  </si>
  <si>
    <t xml:space="preserve">No se exige firma digital del profesional</t>
  </si>
  <si>
    <t xml:space="preserve">PF-137</t>
  </si>
  <si>
    <t xml:space="preserve">Exclusión entre vías</t>
  </si>
  <si>
    <t xml:space="preserve">Documento firmado en línea</t>
  </si>
  <si>
    <t xml:space="preserve">Intentar cargar además un escaneo</t>
  </si>
  <si>
    <t xml:space="preserve">PF-138</t>
  </si>
  <si>
    <t xml:space="preserve">Conteo de pendientes</t>
  </si>
  <si>
    <t xml:space="preserve">Documentos sin regularizar</t>
  </si>
  <si>
    <t xml:space="preserve">Abrir el panel</t>
  </si>
  <si>
    <t xml:space="preserve">Se muestra el conteo de documentos pendientes de carga</t>
  </si>
  <si>
    <t xml:space="preserve">PF-139</t>
  </si>
  <si>
    <t xml:space="preserve">Consulta previa a la atención</t>
  </si>
  <si>
    <t xml:space="preserve">Abrir el detalle de la cita antes de atender</t>
  </si>
  <si>
    <t xml:space="preserve">El profesional puede ver el documento firmado</t>
  </si>
  <si>
    <t xml:space="preserve">PF-140</t>
  </si>
  <si>
    <t xml:space="preserve">Recomendaciones al marcar atendida</t>
  </si>
  <si>
    <t xml:space="preserve">Servicio con documento posterior</t>
  </si>
  <si>
    <t xml:space="preserve">Marcar la cita como atendida</t>
  </si>
  <si>
    <t xml:space="preserve">El paciente recibe el documento de recomendaciones por correo</t>
  </si>
  <si>
    <t xml:space="preserve">PF-141</t>
  </si>
  <si>
    <t xml:space="preserve">Reserva manual dispara el correo</t>
  </si>
  <si>
    <t xml:space="preserve">Reserva creada desde el panel</t>
  </si>
  <si>
    <t xml:space="preserve">El correo con los documentos llega sin mediar pago de anticipo</t>
  </si>
  <si>
    <t xml:space="preserve">PF-142</t>
  </si>
  <si>
    <t xml:space="preserve">Auditoría de documentos</t>
  </si>
  <si>
    <t xml:space="preserve">Documento firmado y cargado</t>
  </si>
  <si>
    <t xml:space="preserve">Creación, firma, carga y consulta quedan registradas con identidad</t>
  </si>
  <si>
    <t xml:space="preserve">PF-143</t>
  </si>
  <si>
    <t xml:space="preserve">ADM-001</t>
  </si>
  <si>
    <t xml:space="preserve">Configuración del sitio</t>
  </si>
  <si>
    <t xml:space="preserve">Edición del banner</t>
  </si>
  <si>
    <t xml:space="preserve">Editar el mensaje central y guardar</t>
  </si>
  <si>
    <t xml:space="preserve">El cambio se refleja en el sitio público</t>
  </si>
  <si>
    <t xml:space="preserve">PF-144</t>
  </si>
  <si>
    <t xml:space="preserve">Misión y visión</t>
  </si>
  <si>
    <t xml:space="preserve">Editar ambos textos</t>
  </si>
  <si>
    <t xml:space="preserve">Los cambios se reflejan en el sitio</t>
  </si>
  <si>
    <t xml:space="preserve">PF-145</t>
  </si>
  <si>
    <t xml:space="preserve">Alta de integrante</t>
  </si>
  <si>
    <t xml:space="preserve">Crear un quinto integrante con foto, cargo, correo y biografía</t>
  </si>
  <si>
    <t xml:space="preserve">Aparece en el sitio y queda disponible para agendamiento</t>
  </si>
  <si>
    <t xml:space="preserve">PF-146</t>
  </si>
  <si>
    <t xml:space="preserve">Desactivación de integrante</t>
  </si>
  <si>
    <t xml:space="preserve">Integrante con citas confirmadas</t>
  </si>
  <si>
    <t xml:space="preserve">Desactivarlo</t>
  </si>
  <si>
    <t xml:space="preserve">Se advierte de las citas vigentes y deja de ofrecerse para nuevas reservas</t>
  </si>
  <si>
    <t xml:space="preserve">PF-147</t>
  </si>
  <si>
    <t xml:space="preserve">Servicios habilitados por integrante</t>
  </si>
  <si>
    <t xml:space="preserve">Integrante creado</t>
  </si>
  <si>
    <t xml:space="preserve">Habilitar sólo masoterapia</t>
  </si>
  <si>
    <t xml:space="preserve">Sólo se ofrece para esos servicios en la reserva</t>
  </si>
  <si>
    <t xml:space="preserve">PF-148</t>
  </si>
  <si>
    <t xml:space="preserve">Relación de aspecto de fotos</t>
  </si>
  <si>
    <t xml:space="preserve">Fotos cargadas</t>
  </si>
  <si>
    <t xml:space="preserve">Revisar las tarjetas del equipo en escritorio y móvil</t>
  </si>
  <si>
    <t xml:space="preserve">Las fotos conservan su proporción y no se ven comprimidas</t>
  </si>
  <si>
    <t xml:space="preserve">PF-149</t>
  </si>
  <si>
    <t xml:space="preserve">Sección de vouchers</t>
  </si>
  <si>
    <t xml:space="preserve">Cargar título, subtítulo y tres fotos</t>
  </si>
  <si>
    <t xml:space="preserve">La sección aparece después de instalaciones y antes de ubicación</t>
  </si>
  <si>
    <t xml:space="preserve">PF-150</t>
  </si>
  <si>
    <t xml:space="preserve">Botón de Apple Maps</t>
  </si>
  <si>
    <t xml:space="preserve">Sección de ubicación</t>
  </si>
  <si>
    <t xml:space="preserve">Abrir el sitio y usar ambos botones</t>
  </si>
  <si>
    <t xml:space="preserve">Google Maps y Apple Maps abren la ubicación correcta con el mismo tratamiento visual</t>
  </si>
  <si>
    <t xml:space="preserve">PF-151</t>
  </si>
  <si>
    <t xml:space="preserve">Etiqueta de opiniones</t>
  </si>
  <si>
    <t xml:space="preserve">Sitio publicado</t>
  </si>
  <si>
    <t xml:space="preserve">Revisar la sección de reseñas</t>
  </si>
  <si>
    <t xml:space="preserve">Se identifica como opiniones de Google</t>
  </si>
  <si>
    <t xml:space="preserve">PF-152</t>
  </si>
  <si>
    <t xml:space="preserve">Reseñas reales</t>
  </si>
  <si>
    <t xml:space="preserve">Credencial e identificador cargados</t>
  </si>
  <si>
    <t xml:space="preserve">Guardar y recargar el sitio</t>
  </si>
  <si>
    <t xml:space="preserve">Se muestran las reseñas reales hasta el máximo configurado</t>
  </si>
  <si>
    <t xml:space="preserve">PF-153</t>
  </si>
  <si>
    <t xml:space="preserve">Video de Instagram</t>
  </si>
  <si>
    <t xml:space="preserve">Enlace cargado en el panel</t>
  </si>
  <si>
    <t xml:space="preserve">URL del reel</t>
  </si>
  <si>
    <t xml:space="preserve">El video se muestra correctamente</t>
  </si>
  <si>
    <t xml:space="preserve">PF-154</t>
  </si>
  <si>
    <t xml:space="preserve">Galería de instalaciones</t>
  </si>
  <si>
    <t xml:space="preserve">Agregar y quitar imágenes</t>
  </si>
  <si>
    <t xml:space="preserve">La galería del sitio refleja los cambios</t>
  </si>
  <si>
    <t xml:space="preserve">PF-155</t>
  </si>
  <si>
    <t xml:space="preserve">Mapa de procesos</t>
  </si>
  <si>
    <t xml:space="preserve">Editar una etapa</t>
  </si>
  <si>
    <t xml:space="preserve">El cambio se refleja en el sitio</t>
  </si>
  <si>
    <t xml:space="preserve">PF-156</t>
  </si>
  <si>
    <t xml:space="preserve">Datos de contacto y redes</t>
  </si>
  <si>
    <t xml:space="preserve">Actualizar correo, WhatsApp y redes</t>
  </si>
  <si>
    <t xml:space="preserve">Los cambios se reflejan en el pie del sitio</t>
  </si>
  <si>
    <t xml:space="preserve">PF-157</t>
  </si>
  <si>
    <t xml:space="preserve">Carga de imagen pesada</t>
  </si>
  <si>
    <t xml:space="preserve">Imagen de gran tamaño</t>
  </si>
  <si>
    <t xml:space="preserve">Subirla desde el panel</t>
  </si>
  <si>
    <t xml:space="preserve">Imagen de 25 MB</t>
  </si>
  <si>
    <t xml:space="preserve">El sistema la procesa y optimiza, o informa el límite con claridad</t>
  </si>
  <si>
    <t xml:space="preserve">PF-158</t>
  </si>
  <si>
    <t xml:space="preserve">Rechazo sobre el límite</t>
  </si>
  <si>
    <t xml:space="preserve">Archivo sobre el máximo</t>
  </si>
  <si>
    <t xml:space="preserve">Intentar subirlo</t>
  </si>
  <si>
    <t xml:space="preserve">El sistema lo rechaza informando el tamaño máximo</t>
  </si>
  <si>
    <t xml:space="preserve">PF-159</t>
  </si>
  <si>
    <t xml:space="preserve">Catálogo de servicios</t>
  </si>
  <si>
    <t xml:space="preserve">Crear, editar y desactivar un servicio</t>
  </si>
  <si>
    <t xml:space="preserve">Los cambios se reflejan en el sitio y en la reserva</t>
  </si>
  <si>
    <t xml:space="preserve">PF-160</t>
  </si>
  <si>
    <t xml:space="preserve">Duración del servicio</t>
  </si>
  <si>
    <t xml:space="preserve">Interruptor activo</t>
  </si>
  <si>
    <t xml:space="preserve">Asignar 60 minutos a un servicio</t>
  </si>
  <si>
    <t xml:space="preserve">La duración se guarda y condiciona la reserva</t>
  </si>
  <si>
    <t xml:space="preserve">PF-161</t>
  </si>
  <si>
    <t xml:space="preserve">Auditoría de contenido</t>
  </si>
  <si>
    <t xml:space="preserve">Cambio guardado</t>
  </si>
  <si>
    <t xml:space="preserve">Queda registrada la identidad del administrador</t>
  </si>
  <si>
    <t xml:space="preserve">PF-162</t>
  </si>
  <si>
    <t xml:space="preserve">AGE-006</t>
  </si>
  <si>
    <t xml:space="preserve">Reserva manual</t>
  </si>
  <si>
    <t xml:space="preserve">Cuatro pasos del asistente</t>
  </si>
  <si>
    <t xml:space="preserve">Sesión de personal</t>
  </si>
  <si>
    <t xml:space="preserve">Recorrer el asistente</t>
  </si>
  <si>
    <t xml:space="preserve">El orden es servicio, horario, paciente y notas con resumen</t>
  </si>
  <si>
    <t xml:space="preserve">PF-163</t>
  </si>
  <si>
    <t xml:space="preserve">Búsqueda de paciente</t>
  </si>
  <si>
    <t xml:space="preserve">Buscar por RUT y por nombre</t>
  </si>
  <si>
    <t xml:space="preserve">PF-164</t>
  </si>
  <si>
    <t xml:space="preserve">Registro de paciente nuevo</t>
  </si>
  <si>
    <t xml:space="preserve">Asistente abierto</t>
  </si>
  <si>
    <t xml:space="preserve">Registrar un paciente con los cinco datos obligatorios</t>
  </si>
  <si>
    <t xml:space="preserve">El paciente se crea y queda seleccionado</t>
  </si>
  <si>
    <t xml:space="preserve">PF-165</t>
  </si>
  <si>
    <t xml:space="preserve">RUT obligatorio</t>
  </si>
  <si>
    <t xml:space="preserve">Intentar registrar sin RUT</t>
  </si>
  <si>
    <t xml:space="preserve">PF-166</t>
  </si>
  <si>
    <t xml:space="preserve">Sin anticipo</t>
  </si>
  <si>
    <t xml:space="preserve">Reserva manual creada</t>
  </si>
  <si>
    <t xml:space="preserve">Revisar la cita</t>
  </si>
  <si>
    <t xml:space="preserve">No se exige ni se registra anticipo</t>
  </si>
  <si>
    <t xml:space="preserve">PF-167</t>
  </si>
  <si>
    <t xml:space="preserve">Origen registrado</t>
  </si>
  <si>
    <t xml:space="preserve">Revisar el detalle y el reporte de origen</t>
  </si>
  <si>
    <t xml:space="preserve">La cita queda marcada como manual</t>
  </si>
  <si>
    <t xml:space="preserve">PF-168</t>
  </si>
  <si>
    <t xml:space="preserve">Dos tipos de nota</t>
  </si>
  <si>
    <t xml:space="preserve">Ingresar nota para el paciente y nota interna</t>
  </si>
  <si>
    <t xml:space="preserve">Ambas se guardan y sólo la del paciente llega al correo</t>
  </si>
  <si>
    <t xml:space="preserve">PF-169</t>
  </si>
  <si>
    <t xml:space="preserve">Respeto de disponibilidad</t>
  </si>
  <si>
    <t xml:space="preserve">Bloque ocupado</t>
  </si>
  <si>
    <t xml:space="preserve">Intentar agendar sobre él</t>
  </si>
  <si>
    <t xml:space="preserve">PF-170</t>
  </si>
  <si>
    <t xml:space="preserve">Especialista agenda sólo su agenda</t>
  </si>
  <si>
    <t xml:space="preserve">Intentar agendar en la agenda de otra</t>
  </si>
  <si>
    <t xml:space="preserve">PF-171</t>
  </si>
  <si>
    <t xml:space="preserve">Administrador agenda en cualquiera</t>
  </si>
  <si>
    <t xml:space="preserve">Agendar en la agenda de una especialista</t>
  </si>
  <si>
    <t xml:space="preserve">La cita se crea correctamente</t>
  </si>
  <si>
    <t xml:space="preserve">PF-172</t>
  </si>
  <si>
    <t xml:space="preserve">Auditoría de la cita manual</t>
  </si>
  <si>
    <t xml:space="preserve">Cita creada</t>
  </si>
  <si>
    <t xml:space="preserve">Queda la identidad de quien la creó</t>
  </si>
  <si>
    <t xml:space="preserve">PF-173</t>
  </si>
  <si>
    <t xml:space="preserve">AGE-007</t>
  </si>
  <si>
    <t xml:space="preserve">Confirmación</t>
  </si>
  <si>
    <t xml:space="preserve">Origen de confirmación</t>
  </si>
  <si>
    <t xml:space="preserve">Cita por confirmar</t>
  </si>
  <si>
    <t xml:space="preserve">Confirmarla manualmente</t>
  </si>
  <si>
    <t xml:space="preserve">Se registra el origen Profesional y es visible en el detalle</t>
  </si>
  <si>
    <t xml:space="preserve">PF-174</t>
  </si>
  <si>
    <t xml:space="preserve">Auditoría del origen</t>
  </si>
  <si>
    <t xml:space="preserve">Confirmación realizada</t>
  </si>
  <si>
    <t xml:space="preserve">El origen queda junto a la identidad de quien confirmó</t>
  </si>
  <si>
    <t xml:space="preserve">PF-175</t>
  </si>
  <si>
    <t xml:space="preserve">PAC-001</t>
  </si>
  <si>
    <t xml:space="preserve">Listado y buscador</t>
  </si>
  <si>
    <t xml:space="preserve">Buscar por RUT, nombre y correo</t>
  </si>
  <si>
    <t xml:space="preserve">El listado responde correctamente a los tres criterios</t>
  </si>
  <si>
    <t xml:space="preserve">PF-176</t>
  </si>
  <si>
    <t xml:space="preserve">Perfil consolidado</t>
  </si>
  <si>
    <t xml:space="preserve">Paciente con historial</t>
  </si>
  <si>
    <t xml:space="preserve">Abrir su perfil</t>
  </si>
  <si>
    <t xml:space="preserve">Muestra contacto, historial de citas y acceso a fichas</t>
  </si>
  <si>
    <t xml:space="preserve">PF-177</t>
  </si>
  <si>
    <t xml:space="preserve">Contadores de actividad</t>
  </si>
  <si>
    <t xml:space="preserve">Paciente con citas en distintos estados</t>
  </si>
  <si>
    <t xml:space="preserve">Los contadores de atendidas, canceladas y no asistidas son correctos</t>
  </si>
  <si>
    <t xml:space="preserve">PF-178</t>
  </si>
  <si>
    <t xml:space="preserve">Estado de documentos</t>
  </si>
  <si>
    <t xml:space="preserve">Paciente con documento pendiente</t>
  </si>
  <si>
    <t xml:space="preserve">Se distingue qué documentos están firmados y cuáles pendientes</t>
  </si>
  <si>
    <t xml:space="preserve">PF-179</t>
  </si>
  <si>
    <t xml:space="preserve">VEN-001</t>
  </si>
  <si>
    <t xml:space="preserve">Ventas</t>
  </si>
  <si>
    <t xml:space="preserve">Registro con efectivo</t>
  </si>
  <si>
    <t xml:space="preserve">Registrar una venta en efectivo</t>
  </si>
  <si>
    <t xml:space="preserve">32.000</t>
  </si>
  <si>
    <t xml:space="preserve">La venta se registra sin comisión de terminal</t>
  </si>
  <si>
    <t xml:space="preserve">PF-180</t>
  </si>
  <si>
    <t xml:space="preserve">Registro con transferencia</t>
  </si>
  <si>
    <t xml:space="preserve">Registrar una venta por transferencia</t>
  </si>
  <si>
    <t xml:space="preserve">PF-181</t>
  </si>
  <si>
    <t xml:space="preserve">Registro con débito</t>
  </si>
  <si>
    <t xml:space="preserve">Terminal configurado</t>
  </si>
  <si>
    <t xml:space="preserve">Registrar una venta con débito</t>
  </si>
  <si>
    <t xml:space="preserve">Se aplica la comisión de débito del terminal</t>
  </si>
  <si>
    <t xml:space="preserve">PF-182</t>
  </si>
  <si>
    <t xml:space="preserve">Registro con crédito</t>
  </si>
  <si>
    <t xml:space="preserve">Registrar una venta con crédito</t>
  </si>
  <si>
    <t xml:space="preserve">Se aplica la comisión de crédito del terminal</t>
  </si>
  <si>
    <t xml:space="preserve">PF-183</t>
  </si>
  <si>
    <t xml:space="preserve">Alta de terminal</t>
  </si>
  <si>
    <t xml:space="preserve">Crear un terminal con plazo de abono y comisiones</t>
  </si>
  <si>
    <t xml:space="preserve">El terminal queda disponible para registrar ventas</t>
  </si>
  <si>
    <t xml:space="preserve">PF-184</t>
  </si>
  <si>
    <t xml:space="preserve">Plazo en días hábiles</t>
  </si>
  <si>
    <t xml:space="preserve">Terminal creado</t>
  </si>
  <si>
    <t xml:space="preserve">Revisar la etiqueta del plazo de abono</t>
  </si>
  <si>
    <t xml:space="preserve">Se expresa en días hábiles</t>
  </si>
  <si>
    <t xml:space="preserve">PF-185</t>
  </si>
  <si>
    <t xml:space="preserve">Notas del terminal</t>
  </si>
  <si>
    <t xml:space="preserve">Ingresar notas y guardar</t>
  </si>
  <si>
    <t xml:space="preserve">Modelo mixto contratado</t>
  </si>
  <si>
    <t xml:space="preserve">Las notas se ven en el detalle del terminal y en el de las ventas</t>
  </si>
  <si>
    <t xml:space="preserve">PF-186</t>
  </si>
  <si>
    <t xml:space="preserve">Comisión porcentual</t>
  </si>
  <si>
    <t xml:space="preserve">Terminal con modelo porcentual</t>
  </si>
  <si>
    <t xml:space="preserve">La comisión se calcula sólo como porcentaje</t>
  </si>
  <si>
    <t xml:space="preserve">PF-187</t>
  </si>
  <si>
    <t xml:space="preserve">Comisión mixta</t>
  </si>
  <si>
    <t xml:space="preserve">Terminal con modelo mixto</t>
  </si>
  <si>
    <t xml:space="preserve">Porcentaje más cargo fijo</t>
  </si>
  <si>
    <t xml:space="preserve">La comisión suma el porcentaje y el cargo fijo</t>
  </si>
  <si>
    <t xml:space="preserve">PF-188</t>
  </si>
  <si>
    <t xml:space="preserve">Impuesto sobre la comisión</t>
  </si>
  <si>
    <t xml:space="preserve">Terminal con impuesto activo</t>
  </si>
  <si>
    <t xml:space="preserve">El impuesto de la comisión se incorpora al cálculo</t>
  </si>
  <si>
    <t xml:space="preserve">PF-189</t>
  </si>
  <si>
    <t xml:space="preserve">Vigencia de comisión</t>
  </si>
  <si>
    <t xml:space="preserve">Comisión modificada con nueva vigencia</t>
  </si>
  <si>
    <t xml:space="preserve">Revisar ventas anteriores</t>
  </si>
  <si>
    <t xml:space="preserve">Las ventas previas conservan el cálculo con la comisión anterior</t>
  </si>
  <si>
    <t xml:space="preserve">PF-190</t>
  </si>
  <si>
    <t xml:space="preserve">Ítems no agendados</t>
  </si>
  <si>
    <t xml:space="preserve">Venta abierta</t>
  </si>
  <si>
    <t xml:space="preserve">Agregar propina y un producto</t>
  </si>
  <si>
    <t xml:space="preserve">Los ítems se suman al total de la venta</t>
  </si>
  <si>
    <t xml:space="preserve">PF-191</t>
  </si>
  <si>
    <t xml:space="preserve">Precio fijo por servicio</t>
  </si>
  <si>
    <t xml:space="preserve">Mismo servicio</t>
  </si>
  <si>
    <t xml:space="preserve">Registrar la misma venta con débito y con crédito</t>
  </si>
  <si>
    <t xml:space="preserve">El precio del servicio no varía; sólo cambia la comisión</t>
  </si>
  <si>
    <t xml:space="preserve">PF-192</t>
  </si>
  <si>
    <t xml:space="preserve">Descuento de convenio como primer descuento</t>
  </si>
  <si>
    <t xml:space="preserve">Paciente con convenio vigente</t>
  </si>
  <si>
    <t xml:space="preserve">Registrar la venta y abrir el listado</t>
  </si>
  <si>
    <t xml:space="preserve">PF-193</t>
  </si>
  <si>
    <t xml:space="preserve">Columnas del listado</t>
  </si>
  <si>
    <t xml:space="preserve">Ventas registradas</t>
  </si>
  <si>
    <t xml:space="preserve">Se muestran las columnas definidas, desde monto bruto hasta margen de la empresa</t>
  </si>
  <si>
    <t xml:space="preserve">PF-194</t>
  </si>
  <si>
    <t xml:space="preserve">Desglose paso a paso</t>
  </si>
  <si>
    <t xml:space="preserve">Venta registrada</t>
  </si>
  <si>
    <t xml:space="preserve">Se muestra el cálculo completo desde el bruto hasta el reparto final</t>
  </si>
  <si>
    <t xml:space="preserve">PF-195</t>
  </si>
  <si>
    <t xml:space="preserve">Margen empresa</t>
  </si>
  <si>
    <t xml:space="preserve">Revisar la nomenclatura</t>
  </si>
  <si>
    <t xml:space="preserve">Se identifica como margen de la empresa y no como margen clínica</t>
  </si>
  <si>
    <t xml:space="preserve">PF-196</t>
  </si>
  <si>
    <t xml:space="preserve">Filtros del listado</t>
  </si>
  <si>
    <t xml:space="preserve">Ventas en distintas fechas</t>
  </si>
  <si>
    <t xml:space="preserve">Aplicar cada filtro</t>
  </si>
  <si>
    <t xml:space="preserve">Hoy, ayer, 30 días, 10 semanas, personalizado</t>
  </si>
  <si>
    <t xml:space="preserve">Cada filtro devuelve el conjunto correcto</t>
  </si>
  <si>
    <t xml:space="preserve">PF-197</t>
  </si>
  <si>
    <t xml:space="preserve">Filtro por método de pago</t>
  </si>
  <si>
    <t xml:space="preserve">Ventas con los cuatro métodos</t>
  </si>
  <si>
    <t xml:space="preserve">Filtrar por cada uno</t>
  </si>
  <si>
    <t xml:space="preserve">El listado responde correctamente</t>
  </si>
  <si>
    <t xml:space="preserve">PF-198</t>
  </si>
  <si>
    <t xml:space="preserve">Exportación a hoja de cálculo</t>
  </si>
  <si>
    <t xml:space="preserve">Exportar</t>
  </si>
  <si>
    <t xml:space="preserve">Se descarga el archivo con los datos filtrados</t>
  </si>
  <si>
    <t xml:space="preserve">PF-199</t>
  </si>
  <si>
    <t xml:space="preserve">REP-001</t>
  </si>
  <si>
    <t xml:space="preserve">Reportes</t>
  </si>
  <si>
    <t xml:space="preserve">Acceso exclusivo del administrador</t>
  </si>
  <si>
    <t xml:space="preserve">Intentar abrir reportes</t>
  </si>
  <si>
    <t xml:space="preserve">PF-200</t>
  </si>
  <si>
    <t xml:space="preserve">Listado de movimientos</t>
  </si>
  <si>
    <t xml:space="preserve">Abrir el reporte de un período</t>
  </si>
  <si>
    <t xml:space="preserve">Se listan identificador, fecha, monto y cliente con acceso al detalle</t>
  </si>
  <si>
    <t xml:space="preserve">PF-201</t>
  </si>
  <si>
    <t xml:space="preserve">Contadores de resumen</t>
  </si>
  <si>
    <t xml:space="preserve">Revisar el resumen</t>
  </si>
  <si>
    <t xml:space="preserve">Total de ventas, pagos parciales y ventas eliminadas son correctos</t>
  </si>
  <si>
    <t xml:space="preserve">PF-202</t>
  </si>
  <si>
    <t xml:space="preserve">Comparación de períodos</t>
  </si>
  <si>
    <t xml:space="preserve">Dos períodos con datos</t>
  </si>
  <si>
    <t xml:space="preserve">Comparar</t>
  </si>
  <si>
    <t xml:space="preserve">Se muestra la variación porcentual de cada indicador</t>
  </si>
  <si>
    <t xml:space="preserve">PF-203</t>
  </si>
  <si>
    <t xml:space="preserve">Indicadores principales</t>
  </si>
  <si>
    <t xml:space="preserve">Citas y ventas cargadas</t>
  </si>
  <si>
    <t xml:space="preserve">Revisar los indicadores</t>
  </si>
  <si>
    <t xml:space="preserve">Reservas totales, ocupación e inasistencias son correctos</t>
  </si>
  <si>
    <t xml:space="preserve">PF-204</t>
  </si>
  <si>
    <t xml:space="preserve">Distribución por hora y día</t>
  </si>
  <si>
    <t xml:space="preserve">Citas en distintos horarios</t>
  </si>
  <si>
    <t xml:space="preserve">Revisar la distribución</t>
  </si>
  <si>
    <t xml:space="preserve">Refleja correctamente los horarios de mayor demanda</t>
  </si>
  <si>
    <t xml:space="preserve">PF-205</t>
  </si>
  <si>
    <t xml:space="preserve">Origen de las reservas</t>
  </si>
  <si>
    <t xml:space="preserve">Citas web y manuales</t>
  </si>
  <si>
    <t xml:space="preserve">Revisar el reporte de origen</t>
  </si>
  <si>
    <t xml:space="preserve">Distingue correctamente ambos orígenes</t>
  </si>
  <si>
    <t xml:space="preserve">PF-206</t>
  </si>
  <si>
    <t xml:space="preserve">Rankings</t>
  </si>
  <si>
    <t xml:space="preserve">Datos cargados</t>
  </si>
  <si>
    <t xml:space="preserve">Revisar los rankings</t>
  </si>
  <si>
    <t xml:space="preserve">Servicios, profesionales y clientes se ordenan correctamente</t>
  </si>
  <si>
    <t xml:space="preserve">PF-207</t>
  </si>
  <si>
    <t xml:space="preserve">Vistas diaria, semanal y mensual</t>
  </si>
  <si>
    <t xml:space="preserve">Cambiar de vista</t>
  </si>
  <si>
    <t xml:space="preserve">Los tres cortes funcionan</t>
  </si>
  <si>
    <t xml:space="preserve">PF-208</t>
  </si>
  <si>
    <t xml:space="preserve">Exportación</t>
  </si>
  <si>
    <t xml:space="preserve">Reporte abierto</t>
  </si>
  <si>
    <t xml:space="preserve">Exportar a hoja de cálculo</t>
  </si>
  <si>
    <t xml:space="preserve">Se descarga el archivo con la información filtrada</t>
  </si>
  <si>
    <t xml:space="preserve">PF-209</t>
  </si>
  <si>
    <t xml:space="preserve">REP-002</t>
  </si>
  <si>
    <t xml:space="preserve">Definición de porcentaje</t>
  </si>
  <si>
    <t xml:space="preserve">Definir 50% para una profesional</t>
  </si>
  <si>
    <t xml:space="preserve">El acuerdo se guarda con su vigencia</t>
  </si>
  <si>
    <t xml:space="preserve">PF-210</t>
  </si>
  <si>
    <t xml:space="preserve">Cálculo sobre el neto</t>
  </si>
  <si>
    <t xml:space="preserve">Venta de 100.000 con impuesto 19% y reparto 50%</t>
  </si>
  <si>
    <t xml:space="preserve">Registrar la venta y revisar el desglose</t>
  </si>
  <si>
    <t xml:space="preserve">El reparto se calcula sobre el monto sin impuesto, no sobre el bruto</t>
  </si>
  <si>
    <t xml:space="preserve">PF-211</t>
  </si>
  <si>
    <t xml:space="preserve">Descuento de la comisión</t>
  </si>
  <si>
    <t xml:space="preserve">Venta con terminal</t>
  </si>
  <si>
    <t xml:space="preserve">Revisar el desglose</t>
  </si>
  <si>
    <t xml:space="preserve">La comisión del terminal se descuenta del reparto</t>
  </si>
  <si>
    <t xml:space="preserve">PF-212</t>
  </si>
  <si>
    <t xml:space="preserve">Vigencia del acuerdo</t>
  </si>
  <si>
    <t xml:space="preserve">Acuerdo modificado desde una fecha</t>
  </si>
  <si>
    <t xml:space="preserve">Revisar ventas anteriores y posteriores</t>
  </si>
  <si>
    <t xml:space="preserve">Cada venta usa el acuerdo vigente a su fecha</t>
  </si>
  <si>
    <t xml:space="preserve">PF-213</t>
  </si>
  <si>
    <t xml:space="preserve">Tasa de impuesto configurable</t>
  </si>
  <si>
    <t xml:space="preserve">Modificar la tasa con nueva vigencia</t>
  </si>
  <si>
    <t xml:space="preserve">Las ventas nuevas usan la tasa nueva y las anteriores conservan la suya</t>
  </si>
  <si>
    <t xml:space="preserve">PF-214</t>
  </si>
  <si>
    <t xml:space="preserve">Reporte por profesional</t>
  </si>
  <si>
    <t xml:space="preserve">Ventas de dos profesionales</t>
  </si>
  <si>
    <t xml:space="preserve">Abrir el reporte del período</t>
  </si>
  <si>
    <t xml:space="preserve">Muestra monto cobrado, impuesto, comisión y reparto por cada una</t>
  </si>
  <si>
    <t xml:space="preserve">PF-215</t>
  </si>
  <si>
    <t xml:space="preserve">Acceso exclusivo</t>
  </si>
  <si>
    <t xml:space="preserve">Intentar abrir el reporte</t>
  </si>
  <si>
    <t xml:space="preserve">PF-216</t>
  </si>
  <si>
    <t xml:space="preserve">NOT-001</t>
  </si>
  <si>
    <t xml:space="preserve">Notificaciones</t>
  </si>
  <si>
    <t xml:space="preserve">Correo de confirmación</t>
  </si>
  <si>
    <t xml:space="preserve">Llega con especialista, servicio, fecha y hora</t>
  </si>
  <si>
    <t xml:space="preserve">PF-217</t>
  </si>
  <si>
    <t xml:space="preserve">Correo de documentos</t>
  </si>
  <si>
    <t xml:space="preserve">Servicio con documento</t>
  </si>
  <si>
    <t xml:space="preserve">Llega el correo con el enlace de firma</t>
  </si>
  <si>
    <t xml:space="preserve">PF-218</t>
  </si>
  <si>
    <t xml:space="preserve">Correo de recordatorio</t>
  </si>
  <si>
    <t xml:space="preserve">Cita futura</t>
  </si>
  <si>
    <t xml:space="preserve">Esperar la antelación configurada</t>
  </si>
  <si>
    <t xml:space="preserve">Llega el recordatorio</t>
  </si>
  <si>
    <t xml:space="preserve">PF-219</t>
  </si>
  <si>
    <t xml:space="preserve">Correo post atención</t>
  </si>
  <si>
    <t xml:space="preserve">Cita marcada como atendida</t>
  </si>
  <si>
    <t xml:space="preserve">Revisar el correo</t>
  </si>
  <si>
    <t xml:space="preserve">Llega el documento de recomendaciones</t>
  </si>
  <si>
    <t xml:space="preserve">PF-220</t>
  </si>
  <si>
    <t xml:space="preserve">Nota del paciente en el correo</t>
  </si>
  <si>
    <t xml:space="preserve">Reserva manual con nota</t>
  </si>
  <si>
    <t xml:space="preserve">La nota para el paciente aparece; la nota interna no</t>
  </si>
  <si>
    <t xml:space="preserve">PF-221</t>
  </si>
  <si>
    <t xml:space="preserve">Registro de envíos</t>
  </si>
  <si>
    <t xml:space="preserve">Correos enviados</t>
  </si>
  <si>
    <t xml:space="preserve">Consultar el registro</t>
  </si>
  <si>
    <t xml:space="preserve">Cada envío guarda tipo, destinatario, estado e intentos</t>
  </si>
  <si>
    <t xml:space="preserve">PF-222</t>
  </si>
  <si>
    <t xml:space="preserve">Reintento ante fallo</t>
  </si>
  <si>
    <t xml:space="preserve">Servicio de correo caído</t>
  </si>
  <si>
    <t xml:space="preserve">Provocar un fallo de envío</t>
  </si>
  <si>
    <t xml:space="preserve">El envío queda como fallido y se reintenta sin interrumpir la operación</t>
  </si>
  <si>
    <t xml:space="preserve">PNF-001</t>
  </si>
  <si>
    <t xml:space="preserve">NFR-001</t>
  </si>
  <si>
    <t xml:space="preserve">Rendimiento</t>
  </si>
  <si>
    <t xml:space="preserve">Tiempo de respuesta del sitio público</t>
  </si>
  <si>
    <t xml:space="preserve">Entorno de pruebas desplegado</t>
  </si>
  <si>
    <t xml:space="preserve">Medir la carga de la portada y del selector de disponibilidad</t>
  </si>
  <si>
    <t xml:space="preserve">La página responde dentro del umbral acordado en carga normal</t>
  </si>
  <si>
    <t xml:space="preserve">PNF-002</t>
  </si>
  <si>
    <t xml:space="preserve">Tiempo de respuesta del panel</t>
  </si>
  <si>
    <t xml:space="preserve">Medir la carga de agenda, ventas y pacientes</t>
  </si>
  <si>
    <t xml:space="preserve">Las vistas responden sin degradar la operación diaria</t>
  </si>
  <si>
    <t xml:space="preserve">PNF-003</t>
  </si>
  <si>
    <t xml:space="preserve">Consulta de disponibilidad concurrente</t>
  </si>
  <si>
    <t xml:space="preserve">Agenda con datos</t>
  </si>
  <si>
    <t xml:space="preserve">Lanzar peticiones concurrentes sostenidas al endpoint de disponibilidad</t>
  </si>
  <si>
    <t xml:space="preserve">50 usuarios simultáneos</t>
  </si>
  <si>
    <t xml:space="preserve">No hay errores ni degradación perceptible</t>
  </si>
  <si>
    <t xml:space="preserve">PNF-004</t>
  </si>
  <si>
    <t xml:space="preserve">Fiabilidad</t>
  </si>
  <si>
    <t xml:space="preserve">Doble reserva simultánea</t>
  </si>
  <si>
    <t xml:space="preserve">Un bloque disponible</t>
  </si>
  <si>
    <t xml:space="preserve">Enviar dos confirmaciones simultáneas sobre el mismo bloque</t>
  </si>
  <si>
    <t xml:space="preserve">2 peticiones en paralelo</t>
  </si>
  <si>
    <t xml:space="preserve">Sólo una prospera; la otra recibe rechazo claro y no hay doble ocupación</t>
  </si>
  <si>
    <t xml:space="preserve">PNF-005</t>
  </si>
  <si>
    <t xml:space="preserve">Doble reserva en ráfaga</t>
  </si>
  <si>
    <t xml:space="preserve">Enviar veinte confirmaciones simultáneas sobre el mismo bloque</t>
  </si>
  <si>
    <t xml:space="preserve">20 peticiones</t>
  </si>
  <si>
    <t xml:space="preserve">Exactamente una cita queda registrada</t>
  </si>
  <si>
    <t xml:space="preserve">PNF-006</t>
  </si>
  <si>
    <t xml:space="preserve">Concurrencia sobre la misma cita</t>
  </si>
  <si>
    <t xml:space="preserve">Dos usuarios del panel cambian su estado a la vez</t>
  </si>
  <si>
    <t xml:space="preserve">El resultado es consistente y queda una sola traza coherente</t>
  </si>
  <si>
    <t xml:space="preserve">PNF-007</t>
  </si>
  <si>
    <t xml:space="preserve">Pasarela inaccesible</t>
  </si>
  <si>
    <t xml:space="preserve">Se informa el problema, no quedan citas inconsistentes y los bloques se liberan</t>
  </si>
  <si>
    <t xml:space="preserve">PNF-008</t>
  </si>
  <si>
    <t xml:space="preserve">Caída del almacenamiento de imágenes</t>
  </si>
  <si>
    <t xml:space="preserve">Servicio inaccesible</t>
  </si>
  <si>
    <t xml:space="preserve">Abrir el sitio</t>
  </si>
  <si>
    <t xml:space="preserve">El sitio sigue operativo y no muestra errores visibles</t>
  </si>
  <si>
    <t xml:space="preserve">PNF-009</t>
  </si>
  <si>
    <t xml:space="preserve">Fallo del servicio de correo</t>
  </si>
  <si>
    <t xml:space="preserve">Confirmar una cita</t>
  </si>
  <si>
    <t xml:space="preserve">La cita se confirma y el envío queda registrado como fallido para reintento</t>
  </si>
  <si>
    <t xml:space="preserve">PNF-010</t>
  </si>
  <si>
    <t xml:space="preserve">Errores sin fuga de información</t>
  </si>
  <si>
    <t xml:space="preserve">Provocar un error del servidor</t>
  </si>
  <si>
    <t xml:space="preserve">El mensaje al usuario no expone trazas internas ni datos sensibles</t>
  </si>
  <si>
    <t xml:space="preserve">PNF-011</t>
  </si>
  <si>
    <t xml:space="preserve">Consola limpia</t>
  </si>
  <si>
    <t xml:space="preserve">Sitio y panel desplegados</t>
  </si>
  <si>
    <t xml:space="preserve">Recorrer las vistas principales revisando la consola</t>
  </si>
  <si>
    <t xml:space="preserve">No hay errores en la consola del navegador</t>
  </si>
  <si>
    <t xml:space="preserve">PNF-012</t>
  </si>
  <si>
    <t xml:space="preserve">Usabilidad</t>
  </si>
  <si>
    <t xml:space="preserve">Sitio en móvil</t>
  </si>
  <si>
    <t xml:space="preserve">Sitio desplegado</t>
  </si>
  <si>
    <t xml:space="preserve">Recorrer el sitio en resolución móvil</t>
  </si>
  <si>
    <t xml:space="preserve">Todo el contenido es legible y operable</t>
  </si>
  <si>
    <t xml:space="preserve">PNF-013</t>
  </si>
  <si>
    <t xml:space="preserve">Firma en móvil</t>
  </si>
  <si>
    <t xml:space="preserve">Abrir el enlace y firmar desde un teléfono</t>
  </si>
  <si>
    <t xml:space="preserve">El documento se lee y la firma se captura correctamente con el dedo</t>
  </si>
  <si>
    <t xml:space="preserve">PNF-014</t>
  </si>
  <si>
    <t xml:space="preserve">Panel en tablet</t>
  </si>
  <si>
    <t xml:space="preserve">Operar agenda y fichas desde una tablet</t>
  </si>
  <si>
    <t xml:space="preserve">Las vistas son operables sin desplazamiento horizontal</t>
  </si>
  <si>
    <t xml:space="preserve">PNF-015</t>
  </si>
  <si>
    <t xml:space="preserve">SEG-001</t>
  </si>
  <si>
    <t xml:space="preserve">Autorización</t>
  </si>
  <si>
    <t xml:space="preserve">Endpoints protegidos sin sesión</t>
  </si>
  <si>
    <t xml:space="preserve">Solicitar endpoints del panel sin token</t>
  </si>
  <si>
    <t xml:space="preserve">Todas las peticiones se rechazan</t>
  </si>
  <si>
    <t xml:space="preserve">PNF-016</t>
  </si>
  <si>
    <t xml:space="preserve">Especialista sobre recursos ajenos</t>
  </si>
  <si>
    <t xml:space="preserve">Dos especialistas</t>
  </si>
  <si>
    <t xml:space="preserve">Solicitar citas, fichas y documentos de la otra</t>
  </si>
  <si>
    <t xml:space="preserve">Todas las peticiones se rechazan con 403</t>
  </si>
  <si>
    <t xml:space="preserve">PNF-017</t>
  </si>
  <si>
    <t xml:space="preserve">Paciente sobre el panel</t>
  </si>
  <si>
    <t xml:space="preserve">Solicitar endpoints administrativos</t>
  </si>
  <si>
    <t xml:space="preserve">PNF-018</t>
  </si>
  <si>
    <t xml:space="preserve">Enumeración de identificadores</t>
  </si>
  <si>
    <t xml:space="preserve">Sesión válida</t>
  </si>
  <si>
    <t xml:space="preserve">Recorrer identificadores secuenciales de citas y fichas</t>
  </si>
  <si>
    <t xml:space="preserve">No se accede a datos de otro usuario</t>
  </si>
  <si>
    <t xml:space="preserve">PNF-019</t>
  </si>
  <si>
    <t xml:space="preserve">Protección</t>
  </si>
  <si>
    <t xml:space="preserve">Límite de tasa en autenticación</t>
  </si>
  <si>
    <t xml:space="preserve">Lanzar intentos repetidos de inicio de sesión</t>
  </si>
  <si>
    <t xml:space="preserve">100 intentos</t>
  </si>
  <si>
    <t xml:space="preserve">El sistema limita la tasa de solicitudes</t>
  </si>
  <si>
    <t xml:space="preserve">PNF-020</t>
  </si>
  <si>
    <t xml:space="preserve">Límite de tasa en endpoints públicos</t>
  </si>
  <si>
    <t xml:space="preserve">Lanzar peticiones repetidas a disponibilidad y reserva</t>
  </si>
  <si>
    <t xml:space="preserve">PNF-021</t>
  </si>
  <si>
    <t xml:space="preserve">Fuerza bruta sobre el enlace de firma</t>
  </si>
  <si>
    <t xml:space="preserve">Enlace válido conocido</t>
  </si>
  <si>
    <t xml:space="preserve">Probar tokens aleatorios y variaciones</t>
  </si>
  <si>
    <t xml:space="preserve">Los intentos se limitan y ningún token adivinado da acceso</t>
  </si>
  <si>
    <t xml:space="preserve">PNF-022</t>
  </si>
  <si>
    <t xml:space="preserve">Enlace de firma no enumerable</t>
  </si>
  <si>
    <t xml:space="preserve">Varios enlaces emitidos</t>
  </si>
  <si>
    <t xml:space="preserve">Comparar los tokens entre sí</t>
  </si>
  <si>
    <t xml:space="preserve">Los tokens no siguen un patrón derivable</t>
  </si>
  <si>
    <t xml:space="preserve">PNF-023</t>
  </si>
  <si>
    <t xml:space="preserve">Validación de archivos por contenido</t>
  </si>
  <si>
    <t xml:space="preserve">Subir un ejecutable renombrado y un archivo sobre el límite</t>
  </si>
  <si>
    <t xml:space="preserve">Ambos se rechazan</t>
  </si>
  <si>
    <t xml:space="preserve">PNF-024</t>
  </si>
  <si>
    <t xml:space="preserve">Archivos no ejecutables desde el servidor</t>
  </si>
  <si>
    <t xml:space="preserve">Archivo cargado</t>
  </si>
  <si>
    <t xml:space="preserve">Intentar acceder a la ruta del archivo directamente</t>
  </si>
  <si>
    <t xml:space="preserve">El acceso se rechaza y el archivo no se ejecuta</t>
  </si>
  <si>
    <t xml:space="preserve">PNF-025</t>
  </si>
  <si>
    <t xml:space="preserve">Cabeceras de seguridad</t>
  </si>
  <si>
    <t xml:space="preserve">Revisar las cabeceras de respuesta</t>
  </si>
  <si>
    <t xml:space="preserve">Están presentes las cabeceras de seguridad esperadas</t>
  </si>
  <si>
    <t xml:space="preserve">PNF-026</t>
  </si>
  <si>
    <t xml:space="preserve">Secretos</t>
  </si>
  <si>
    <t xml:space="preserve">Sin secretos en el navegador</t>
  </si>
  <si>
    <t xml:space="preserve">No aparecen claves de servicio, credenciales ni cadenas de conexión</t>
  </si>
  <si>
    <t xml:space="preserve">PNF-027</t>
  </si>
  <si>
    <t xml:space="preserve">Contraseña fuera del código</t>
  </si>
  <si>
    <t xml:space="preserve">Backend desplegado</t>
  </si>
  <si>
    <t xml:space="preserve">Revisar el inicializador de datos del sistema</t>
  </si>
  <si>
    <t xml:space="preserve">Ninguna contraseña está fijada en el código fuente</t>
  </si>
  <si>
    <t xml:space="preserve">PNF-028</t>
  </si>
  <si>
    <t xml:space="preserve">Rotación efectiva</t>
  </si>
  <si>
    <t xml:space="preserve">Contraseña rotada</t>
  </si>
  <si>
    <t xml:space="preserve">Redesplegar la aplicación e intentar la clave anterior</t>
  </si>
  <si>
    <t xml:space="preserve">La clave anterior no funciona y la rotación no se revierte con el despliegue</t>
  </si>
  <si>
    <t xml:space="preserve">PNF-029</t>
  </si>
  <si>
    <t xml:space="preserve">Continuidad</t>
  </si>
  <si>
    <t xml:space="preserve">Respaldo automático</t>
  </si>
  <si>
    <t xml:space="preserve">Respaldos configurados</t>
  </si>
  <si>
    <t xml:space="preserve">Verificar la generación del respaldo</t>
  </si>
  <si>
    <t xml:space="preserve">El respaldo se genera de forma automática y periódica</t>
  </si>
  <si>
    <t xml:space="preserve">PNF-030</t>
  </si>
  <si>
    <t xml:space="preserve">Restauración verificada</t>
  </si>
  <si>
    <t xml:space="preserve">Respaldo disponible</t>
  </si>
  <si>
    <t xml:space="preserve">Restaurar sobre un entorno limpio</t>
  </si>
  <si>
    <t xml:space="preserve">La restauración se completa y los datos quedan íntegros</t>
  </si>
  <si>
    <t xml:space="preserve">PNF-031</t>
  </si>
  <si>
    <t xml:space="preserve">Base de datos no expuesta</t>
  </si>
  <si>
    <t xml:space="preserve">Infraestructura desplegada</t>
  </si>
  <si>
    <t xml:space="preserve">Intentar conectarse a la base desde internet</t>
  </si>
  <si>
    <t xml:space="preserve">La conexión se rechaza</t>
  </si>
  <si>
    <t xml:space="preserve">PNF-032</t>
  </si>
  <si>
    <t xml:space="preserve">Puertos abiertos</t>
  </si>
  <si>
    <t xml:space="preserve">Explorar los puertos accesibles desde internet</t>
  </si>
  <si>
    <t xml:space="preserve">Sólo están abiertos los estrictamente necesarios</t>
  </si>
  <si>
    <t xml:space="preserve">PNF-033</t>
  </si>
  <si>
    <t xml:space="preserve">Versión identificable</t>
  </si>
  <si>
    <t xml:space="preserve">Despliegue realizado</t>
  </si>
  <si>
    <t xml:space="preserve">Consultar la versión desplegada</t>
  </si>
  <si>
    <t xml:space="preserve">La versión es identificable de forma unívoca</t>
  </si>
  <si>
    <t xml:space="preserve">PNF-034</t>
  </si>
  <si>
    <t xml:space="preserve">Retorno a versión anterior</t>
  </si>
  <si>
    <t xml:space="preserve">Dos versiones publicadas</t>
  </si>
  <si>
    <t xml:space="preserve">Volver a la anterior</t>
  </si>
  <si>
    <t xml:space="preserve">El retorno se completa sin reconstruir la aplicación</t>
  </si>
  <si>
    <t xml:space="preserve">PNF-035</t>
  </si>
  <si>
    <t xml:space="preserve">Auditoría</t>
  </si>
  <si>
    <t xml:space="preserve">Registro de escrituras</t>
  </si>
  <si>
    <t xml:space="preserve">Operaciones realizadas</t>
  </si>
  <si>
    <t xml:space="preserve">Consultar el registro de auditoría</t>
  </si>
  <si>
    <t xml:space="preserve">Cada acción de escritura queda con actor, entidad, acción y fecha</t>
  </si>
  <si>
    <t xml:space="preserve">PNF-036</t>
  </si>
  <si>
    <t xml:space="preserve">LEG-001</t>
  </si>
  <si>
    <t xml:space="preserve">Protección de datos</t>
  </si>
  <si>
    <t xml:space="preserve">Consentimiento en el alta</t>
  </si>
  <si>
    <t xml:space="preserve">Se informa el tratamiento de datos y se registra el consentimiento</t>
  </si>
  <si>
    <t xml:space="preserve">PNF-037</t>
  </si>
  <si>
    <t xml:space="preserve">Tráfico cifrado</t>
  </si>
  <si>
    <t xml:space="preserve">Verificar el certificado y la redirección</t>
  </si>
  <si>
    <t xml:space="preserve">Todo el tráfico viaja cifrado y no hay contenido mixto</t>
  </si>
  <si>
    <t xml:space="preserve">PNF-038</t>
  </si>
  <si>
    <t xml:space="preserve">Sin datos de salud en endpoints públicos</t>
  </si>
  <si>
    <t xml:space="preserve">Recorrer los endpoints públicos</t>
  </si>
  <si>
    <t xml:space="preserve">Ninguno expone datos clínicos ni motivos internos</t>
  </si>
  <si>
    <t xml:space="preserve">PNF-039</t>
  </si>
  <si>
    <t xml:space="preserve">Descarga de archivo clínico sin sesión</t>
  </si>
  <si>
    <t xml:space="preserve">Intentar descargarlo sin autenticación</t>
  </si>
  <si>
    <t xml:space="preserve">PNF-040</t>
  </si>
  <si>
    <t xml:space="preserve">Identificador opaco de archivos</t>
  </si>
  <si>
    <t xml:space="preserve">Revisar la ruta de almacenamiento</t>
  </si>
  <si>
    <t xml:space="preserve">La ruta no es predecible ni derivable del nombre original</t>
  </si>
  <si>
    <t xml:space="preserve">PNF-041</t>
  </si>
  <si>
    <t xml:space="preserve">Parámetro de retención</t>
  </si>
  <si>
    <t xml:space="preserve">Configuración del sistema</t>
  </si>
  <si>
    <t xml:space="preserve">Revisar el parámetro de conservación</t>
  </si>
  <si>
    <t xml:space="preserve">El plazo está definido y es configurable</t>
  </si>
  <si>
    <t xml:space="preserve">PNF-042</t>
  </si>
  <si>
    <t xml:space="preserve">Solicitud de eliminación</t>
  </si>
  <si>
    <t xml:space="preserve">Paciente registrado</t>
  </si>
  <si>
    <t xml:space="preserve">Ejecutar el procedimiento de eliminación de datos</t>
  </si>
  <si>
    <t xml:space="preserve">Los datos se eliminan o anonimizan y queda traza de la solicitud</t>
  </si>
  <si>
    <t xml:space="preserve">PNF-043</t>
  </si>
  <si>
    <t xml:space="preserve">Auditoría de acceso clínico</t>
  </si>
  <si>
    <t xml:space="preserve">Fichas consultadas</t>
  </si>
  <si>
    <t xml:space="preserve">Cada consulta y modificación queda con identidad individual</t>
  </si>
  <si>
    <t xml:space="preserve">PNF-044</t>
  </si>
  <si>
    <t xml:space="preserve">Formatos no expuestos</t>
  </si>
  <si>
    <t xml:space="preserve">Formatos cargados</t>
  </si>
  <si>
    <t xml:space="preserve">Intentar acceder a un formato sin sesión</t>
  </si>
  <si>
    <t xml:space="preserve">PNF-045</t>
  </si>
  <si>
    <t xml:space="preserve">WEB-001</t>
  </si>
  <si>
    <t xml:space="preserve">Calidad del sitio</t>
  </si>
  <si>
    <t xml:space="preserve">Títulos únicos</t>
  </si>
  <si>
    <t xml:space="preserve">Revisar el título de cada página</t>
  </si>
  <si>
    <t xml:space="preserve">Cada página tiene un título propio</t>
  </si>
  <si>
    <t xml:space="preserve">PNF-046</t>
  </si>
  <si>
    <t xml:space="preserve">Descripciones</t>
  </si>
  <si>
    <t xml:space="preserve">Revisar la meta descripción de cada página</t>
  </si>
  <si>
    <t xml:space="preserve">Cada página tiene descripción propia</t>
  </si>
  <si>
    <t xml:space="preserve">PNF-047</t>
  </si>
  <si>
    <t xml:space="preserve">Idioma declarado</t>
  </si>
  <si>
    <t xml:space="preserve">Revisar el atributo de idioma</t>
  </si>
  <si>
    <t xml:space="preserve">El idioma está declarado</t>
  </si>
  <si>
    <t xml:space="preserve">PNF-048</t>
  </si>
  <si>
    <t xml:space="preserve">Contenido en el HTML entregado</t>
  </si>
  <si>
    <t xml:space="preserve">Revisar el código fuente sin ejecutar scripts</t>
  </si>
  <si>
    <t xml:space="preserve">El contenido principal está presente en el HTML</t>
  </si>
  <si>
    <t xml:space="preserve">PNF-049</t>
  </si>
  <si>
    <t xml:space="preserve">Página 404 propia</t>
  </si>
  <si>
    <t xml:space="preserve">Abrir una ruta inexistente</t>
  </si>
  <si>
    <t xml:space="preserve">Se muestra una 404 propia coherente con la identidad visual</t>
  </si>
  <si>
    <t xml:space="preserve">PNF-050</t>
  </si>
  <si>
    <t xml:space="preserve">Dirección canónica</t>
  </si>
  <si>
    <t xml:space="preserve">Revisar el canónico de cada página</t>
  </si>
  <si>
    <t xml:space="preserve">Está declarado y apunta correctamente</t>
  </si>
  <si>
    <t xml:space="preserve">PNF-051</t>
  </si>
  <si>
    <t xml:space="preserve">Mapa del sitio</t>
  </si>
  <si>
    <t xml:space="preserve">Solicitar el mapa del sitio</t>
  </si>
  <si>
    <t xml:space="preserve">Existe y lista las páginas públicas</t>
  </si>
  <si>
    <t xml:space="preserve">PNF-052</t>
  </si>
  <si>
    <t xml:space="preserve">Reglas para rastreadores</t>
  </si>
  <si>
    <t xml:space="preserve">Solicitar el archivo de reglas</t>
  </si>
  <si>
    <t xml:space="preserve">Existe y no bloquea el contenido público</t>
  </si>
  <si>
    <t xml:space="preserve">PNF-053</t>
  </si>
  <si>
    <t xml:space="preserve">Datos estructurados</t>
  </si>
  <si>
    <t xml:space="preserve">Validar los datos estructurados de negocio local</t>
  </si>
  <si>
    <t xml:space="preserve">Están presentes y son válidos</t>
  </si>
  <si>
    <t xml:space="preserve">PNF-054</t>
  </si>
  <si>
    <t xml:space="preserve">Imagen para compartir</t>
  </si>
  <si>
    <t xml:space="preserve">Compartir el enlace en mensajería</t>
  </si>
  <si>
    <t xml:space="preserve">Se muestra la imagen de presentación declarada</t>
  </si>
  <si>
    <t xml:space="preserve">PNF-055</t>
  </si>
  <si>
    <t xml:space="preserve">Ícono de pestaña</t>
  </si>
  <si>
    <t xml:space="preserve">Se muestra el ícono propio</t>
  </si>
  <si>
    <t xml:space="preserve">PNF-056</t>
  </si>
  <si>
    <t xml:space="preserve">Texto alternativo</t>
  </si>
  <si>
    <t xml:space="preserve">Revisar todas las imágenes</t>
  </si>
  <si>
    <t xml:space="preserve">Todas tienen texto alternativo descriptivo</t>
  </si>
  <si>
    <t xml:space="preserve">PNF-057</t>
  </si>
  <si>
    <t xml:space="preserve">Encabezado principal único</t>
  </si>
  <si>
    <t xml:space="preserve">Revisar cada página</t>
  </si>
  <si>
    <t xml:space="preserve">Cada página tiene un único encabezado principal</t>
  </si>
  <si>
    <t xml:space="preserve">PNF-058</t>
  </si>
  <si>
    <t xml:space="preserve">Sin mapas de código fuente</t>
  </si>
  <si>
    <t xml:space="preserve">Buscar mapas de código en producción</t>
  </si>
  <si>
    <t xml:space="preserve">No se exponen</t>
  </si>
  <si>
    <t xml:space="preserve">PNF-059</t>
  </si>
  <si>
    <t xml:space="preserve">Peso de los recursos</t>
  </si>
  <si>
    <t xml:space="preserve">Medir el peso entregado al navegador</t>
  </si>
  <si>
    <t xml:space="preserve">Se mantiene dentro del umbral acordado</t>
  </si>
  <si>
    <t xml:space="preserve">PNF-060</t>
  </si>
  <si>
    <t xml:space="preserve">Imágenes optimizadas</t>
  </si>
  <si>
    <t xml:space="preserve">Revisar el formato y tamaño de las imágenes servidas</t>
  </si>
  <si>
    <t xml:space="preserve">Se sirven optimizadas</t>
  </si>
  <si>
    <t xml:space="preserve">PNF-061</t>
  </si>
  <si>
    <t xml:space="preserve">Medición de visitas</t>
  </si>
  <si>
    <t xml:space="preserve">Verificar el registro de una visita</t>
  </si>
  <si>
    <t xml:space="preserve">La visita se registra en la herramienta de medición</t>
  </si>
  <si>
    <t xml:space="preserve">PNF-062</t>
  </si>
  <si>
    <t xml:space="preserve">Llamada a la acción visible</t>
  </si>
  <si>
    <t xml:space="preserve">Abrir el sitio en escritorio y móvil</t>
  </si>
  <si>
    <t xml:space="preserve">La llamada a la acción es visible sin desplazamiento y accesible en móvil</t>
  </si>
  <si>
    <t xml:space="preserve">PNF-063</t>
  </si>
  <si>
    <t xml:space="preserve">Ninguna URL de entorno expuesta</t>
  </si>
  <si>
    <t xml:space="preserve">Revisar enlaces y peticiones</t>
  </si>
  <si>
    <t xml:space="preserve">No aparecen URL de entornos de despliegue intermedios</t>
  </si>
  <si>
    <t xml:space="preserve">Caso de origen</t>
  </si>
  <si>
    <t xml:space="preserve">Descripción del hallazgo</t>
  </si>
  <si>
    <t xml:space="preserve">Severidad</t>
  </si>
  <si>
    <t xml:space="preserve">Detectado por</t>
  </si>
  <si>
    <t xml:space="preserve">Fecha detección</t>
  </si>
  <si>
    <t xml:space="preserve">Responsable de corrección</t>
  </si>
  <si>
    <t xml:space="preserve">Estado</t>
  </si>
  <si>
    <t xml:space="preserve">Fecha cierre</t>
  </si>
  <si>
    <t xml:space="preserve">Notas</t>
  </si>
  <si>
    <t xml:space="preserve">H-001</t>
  </si>
  <si>
    <t xml:space="preserve">PF-000</t>
  </si>
  <si>
    <t xml:space="preserve">Ejemplo: reemplazar esta fila al registrar el primer hallazgo</t>
  </si>
  <si>
    <t xml:space="preserve">Abierto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</si>
</sst>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92C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DF5"/>
        <bgColor rgb="FFF4F7FB"/>
      </patternFill>
    </fill>
    <fill>
      <patternFill patternType="solid">
        <fgColor rgb="FF0B192C"/>
        <bgColor rgb="FF000000"/>
      </patternFill>
    </fill>
    <fill>
      <patternFill patternType="solid">
        <fgColor rgb="FFF4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192C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E7EDF5"/>
      <rgbColor rgb="FF660066"/>
      <rgbColor rgb="FFFF8080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192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2"/>
    </row>
    <row r="3" customFormat="false" ht="30" hidden="false" customHeight="true" outlineLevel="0" collapsed="false">
      <c r="A3" s="2" t="s">
        <v>1</v>
      </c>
    </row>
    <row r="4" customFormat="false" ht="15" hidden="false" customHeight="true" outlineLevel="0" collapsed="false">
      <c r="A4" s="2"/>
    </row>
    <row r="5" customFormat="false" ht="15" hidden="false" customHeight="true" outlineLevel="0" collapsed="false">
      <c r="A5" s="3" t="s">
        <v>2</v>
      </c>
    </row>
    <row r="6" customFormat="false" ht="15" hidden="false" customHeight="true" outlineLevel="0" collapsed="false">
      <c r="A6" s="2" t="s">
        <v>3</v>
      </c>
    </row>
    <row r="7" customFormat="false" ht="30" hidden="false" customHeight="true" outlineLevel="0" collapsed="false">
      <c r="A7" s="2" t="s">
        <v>4</v>
      </c>
    </row>
    <row r="8" customFormat="false" ht="30" hidden="false" customHeight="true" outlineLevel="0" collapsed="false">
      <c r="A8" s="2" t="s">
        <v>5</v>
      </c>
    </row>
    <row r="9" customFormat="false" ht="15" hidden="false" customHeight="true" outlineLevel="0" collapsed="false">
      <c r="A9" s="2" t="s">
        <v>6</v>
      </c>
    </row>
    <row r="10" customFormat="false" ht="30" hidden="false" customHeight="true" outlineLevel="0" collapsed="false">
      <c r="A10" s="2" t="s">
        <v>7</v>
      </c>
    </row>
    <row r="11" customFormat="false" ht="15" hidden="false" customHeight="true" outlineLevel="0" collapsed="false">
      <c r="A11" s="2"/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2" t="s">
        <v>9</v>
      </c>
    </row>
    <row r="14" customFormat="false" ht="15" hidden="false" customHeight="true" outlineLevel="0" collapsed="false">
      <c r="A14" s="2" t="s">
        <v>10</v>
      </c>
    </row>
    <row r="15" customFormat="false" ht="15" hidden="false" customHeight="true" outlineLevel="0" collapsed="false">
      <c r="A15" s="2" t="s">
        <v>11</v>
      </c>
    </row>
    <row r="16" customFormat="false" ht="15" hidden="false" customHeight="true" outlineLevel="0" collapsed="false">
      <c r="A16" s="2"/>
    </row>
    <row r="17" customFormat="false" ht="15" hidden="false" customHeight="true" outlineLevel="0" collapsed="false">
      <c r="A17" s="3" t="s">
        <v>12</v>
      </c>
    </row>
    <row r="18" customFormat="false" ht="30" hidden="false" customHeight="true" outlineLevel="0" collapsed="false">
      <c r="A18" s="2" t="s">
        <v>13</v>
      </c>
    </row>
    <row r="19" customFormat="false" ht="15" hidden="false" customHeight="true" outlineLevel="0" collapsed="false">
      <c r="A19" s="2" t="s">
        <v>14</v>
      </c>
    </row>
    <row r="20" customFormat="false" ht="30" hidden="false" customHeight="true" outlineLevel="0" collapsed="false">
      <c r="A20" s="2" t="s">
        <v>15</v>
      </c>
    </row>
    <row r="21" customFormat="false" ht="15" hidden="false" customHeight="true" outlineLevel="0" collapsed="false">
      <c r="A21" s="2" t="s">
        <v>16</v>
      </c>
    </row>
    <row r="22" customFormat="false" ht="15" hidden="false" customHeight="true" outlineLevel="0" collapsed="false">
      <c r="A22" s="2"/>
    </row>
    <row r="23" customFormat="false" ht="15" hidden="false" customHeight="true" outlineLevel="0" collapsed="false">
      <c r="A23" s="3" t="s">
        <v>17</v>
      </c>
    </row>
    <row r="24" customFormat="false" ht="30" hidden="false" customHeight="true" outlineLevel="0" collapsed="false">
      <c r="A24" s="2" t="s">
        <v>18</v>
      </c>
    </row>
    <row r="25" customFormat="false" ht="15" hidden="false" customHeight="true" outlineLevel="0" collapsed="false">
      <c r="A25" s="2"/>
    </row>
    <row r="26" customFormat="false" ht="15" hidden="false" customHeight="true" outlineLevel="0" collapsed="false">
      <c r="A26" s="3" t="s">
        <v>19</v>
      </c>
    </row>
    <row r="27" customFormat="false" ht="30" hidden="false" customHeight="true" outlineLevel="0" collapsed="false">
      <c r="A27" s="2" t="s">
        <v>20</v>
      </c>
    </row>
    <row r="28" customFormat="false" ht="30" hidden="false" customHeight="true" outlineLevel="0" collapsed="false">
      <c r="A28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4" t="s">
        <v>22</v>
      </c>
    </row>
    <row r="3" customFormat="false" ht="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</row>
    <row r="4" customFormat="false" ht="15" hidden="false" customHeight="false" outlineLevel="0" collapsed="false">
      <c r="A4" s="6" t="s">
        <v>27</v>
      </c>
      <c r="B4" s="6" t="n">
        <f aca="false">COUNTA('Pruebas funcionales'!$K$2:$K$223)</f>
        <v>222</v>
      </c>
      <c r="C4" s="6" t="n">
        <f aca="false">COUNTA('Pruebas no funcionales'!$K$2:$K$64)</f>
        <v>63</v>
      </c>
      <c r="D4" s="7" t="n">
        <f aca="false">B4+C4</f>
        <v>285</v>
      </c>
    </row>
    <row r="5" customFormat="false" ht="15" hidden="false" customHeight="false" outlineLevel="0" collapsed="false">
      <c r="A5" s="6" t="s">
        <v>28</v>
      </c>
      <c r="B5" s="6" t="n">
        <f aca="false">COUNTIF('Pruebas funcionales'!$K$2:$K$223,"Pendiente")</f>
        <v>222</v>
      </c>
      <c r="C5" s="6" t="n">
        <f aca="false">COUNTIF('Pruebas no funcionales'!$K$2:$K$64,"Pendiente")</f>
        <v>63</v>
      </c>
      <c r="D5" s="7" t="n">
        <f aca="false">B5+C5</f>
        <v>285</v>
      </c>
    </row>
    <row r="6" customFormat="false" ht="15" hidden="false" customHeight="false" outlineLevel="0" collapsed="false">
      <c r="A6" s="6" t="s">
        <v>29</v>
      </c>
      <c r="B6" s="6" t="n">
        <f aca="false">COUNTIF('Pruebas funcionales'!$K$2:$K$223,"Aprobado")</f>
        <v>0</v>
      </c>
      <c r="C6" s="6" t="n">
        <f aca="false">COUNTIF('Pruebas no funcionales'!$K$2:$K$64,"Aprobado")</f>
        <v>0</v>
      </c>
      <c r="D6" s="7" t="n">
        <f aca="false">B6+C6</f>
        <v>0</v>
      </c>
    </row>
    <row r="7" customFormat="false" ht="15" hidden="false" customHeight="false" outlineLevel="0" collapsed="false">
      <c r="A7" s="6" t="s">
        <v>30</v>
      </c>
      <c r="B7" s="6" t="n">
        <f aca="false">COUNTIF('Pruebas funcionales'!$K$2:$K$223,"Fallido")</f>
        <v>0</v>
      </c>
      <c r="C7" s="6" t="n">
        <f aca="false">COUNTIF('Pruebas no funcionales'!$K$2:$K$64,"Fallido")</f>
        <v>0</v>
      </c>
      <c r="D7" s="7" t="n">
        <f aca="false">B7+C7</f>
        <v>0</v>
      </c>
    </row>
    <row r="8" customFormat="false" ht="15" hidden="false" customHeight="false" outlineLevel="0" collapsed="false">
      <c r="A8" s="6" t="s">
        <v>31</v>
      </c>
      <c r="B8" s="6" t="n">
        <f aca="false">COUNTIF('Pruebas funcionales'!$K$2:$K$223,"Bloqueado")</f>
        <v>0</v>
      </c>
      <c r="C8" s="6" t="n">
        <f aca="false">COUNTIF('Pruebas no funcionales'!$K$2:$K$64,"Bloqueado")</f>
        <v>0</v>
      </c>
      <c r="D8" s="7" t="n">
        <f aca="false">B8+C8</f>
        <v>0</v>
      </c>
    </row>
    <row r="9" customFormat="false" ht="15" hidden="false" customHeight="false" outlineLevel="0" collapsed="false">
      <c r="A9" s="6" t="s">
        <v>32</v>
      </c>
      <c r="B9" s="6" t="n">
        <f aca="false">COUNTIF('Pruebas funcionales'!$K$2:$K$223,"No aplica")</f>
        <v>0</v>
      </c>
      <c r="C9" s="6" t="n">
        <f aca="false">COUNTIF('Pruebas no funcionales'!$K$2:$K$64,"No aplica")</f>
        <v>0</v>
      </c>
      <c r="D9" s="7" t="n">
        <f aca="false">B9+C9</f>
        <v>0</v>
      </c>
    </row>
    <row r="10" customFormat="false" ht="15" hidden="false" customHeight="false" outlineLevel="0" collapsed="false">
      <c r="A10" s="6" t="s">
        <v>33</v>
      </c>
      <c r="B10" s="6" t="n">
        <f aca="false">COUNTIFS('Pruebas funcionales'!$I$2:$I$223,"Bloqueante",'Pruebas funcionales'!$K$2:$K$223,"Fallido")</f>
        <v>0</v>
      </c>
      <c r="C10" s="6" t="n">
        <f aca="false">COUNTIFS('Pruebas no funcionales'!$I$2:$I$64,"Bloqueante",'Pruebas no funcionales'!$K$2:$K$64,"Fallido")</f>
        <v>0</v>
      </c>
      <c r="D10" s="7" t="n">
        <f aca="false">B10+C10</f>
        <v>0</v>
      </c>
    </row>
    <row r="11" customFormat="false" ht="15" hidden="false" customHeight="false" outlineLevel="0" collapsed="false">
      <c r="A11" s="6" t="s">
        <v>34</v>
      </c>
      <c r="B11" s="6" t="n">
        <f aca="false">COUNTIFS('Pruebas funcionales'!$I$2:$I$223,"Crítico",'Pruebas funcionales'!$K$2:$K$223,"Fallido")</f>
        <v>0</v>
      </c>
      <c r="C11" s="6" t="n">
        <f aca="false">COUNTIFS('Pruebas no funcionales'!$I$2:$I$64,"Crítico",'Pruebas no funcionales'!$K$2:$K$64,"Fallido")</f>
        <v>0</v>
      </c>
      <c r="D11" s="7" t="n">
        <f aca="false">B11+C11</f>
        <v>0</v>
      </c>
    </row>
    <row r="12" customFormat="false" ht="15" hidden="false" customHeight="false" outlineLevel="0" collapsed="false">
      <c r="A12" s="6" t="s">
        <v>35</v>
      </c>
      <c r="B12" s="6" t="n">
        <f aca="false">COUNTIFS('Pruebas funcionales'!$I$2:$I$223,"Mayor",'Pruebas funcionales'!$K$2:$K$223,"Fallido")</f>
        <v>0</v>
      </c>
      <c r="C12" s="6" t="n">
        <f aca="false">COUNTIFS('Pruebas no funcionales'!$I$2:$I$64,"Mayor",'Pruebas no funcionales'!$K$2:$K$64,"Fallido")</f>
        <v>0</v>
      </c>
      <c r="D12" s="7" t="n">
        <f aca="false">B12+C12</f>
        <v>0</v>
      </c>
    </row>
    <row r="14" customFormat="false" ht="15" hidden="false" customHeight="false" outlineLevel="0" collapsed="false">
      <c r="A14" s="8" t="s">
        <v>36</v>
      </c>
      <c r="B14" s="9" t="n">
        <f aca="false">IF($D$4=0,0,($D$4-$D$5)/$D$4)</f>
        <v>0</v>
      </c>
    </row>
    <row r="16" customFormat="false" ht="15" hidden="false" customHeight="false" outlineLevel="0" collapsed="false">
      <c r="A16" s="8" t="s">
        <v>37</v>
      </c>
      <c r="B16" s="8" t="str">
        <f aca="false">IF(AND($D$5=0,$D$10=0,$D$11=0),"APROBADO — listo para producción","NO APROBADO")</f>
        <v>NO APROBADO</v>
      </c>
    </row>
    <row r="17" customFormat="false" ht="15" hidden="false" customHeight="false" outlineLevel="0" collapsed="false">
      <c r="A17" s="1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74"/>
  </cols>
  <sheetData>
    <row r="1" customFormat="false" ht="17.35" hidden="false" customHeight="false" outlineLevel="0" collapsed="false">
      <c r="A1" s="4" t="s">
        <v>39</v>
      </c>
    </row>
    <row r="3" customFormat="false" ht="15" hidden="false" customHeight="false" outlineLevel="0" collapsed="false">
      <c r="A3" s="5" t="s">
        <v>40</v>
      </c>
      <c r="B3" s="5" t="s">
        <v>41</v>
      </c>
      <c r="C3" s="5" t="s">
        <v>42</v>
      </c>
    </row>
    <row r="4" customFormat="false" ht="15" hidden="false" customHeight="false" outlineLevel="0" collapsed="false">
      <c r="A4" s="11" t="s">
        <v>43</v>
      </c>
      <c r="B4" s="11" t="s">
        <v>44</v>
      </c>
      <c r="C4" s="11" t="s">
        <v>45</v>
      </c>
    </row>
    <row r="5" customFormat="false" ht="15" hidden="false" customHeight="false" outlineLevel="0" collapsed="false">
      <c r="A5" s="12" t="s">
        <v>43</v>
      </c>
      <c r="B5" s="12" t="s">
        <v>46</v>
      </c>
      <c r="C5" s="12" t="s">
        <v>47</v>
      </c>
    </row>
    <row r="6" customFormat="false" ht="15" hidden="false" customHeight="false" outlineLevel="0" collapsed="false">
      <c r="A6" s="11" t="s">
        <v>43</v>
      </c>
      <c r="B6" s="11" t="s">
        <v>48</v>
      </c>
      <c r="C6" s="11" t="s">
        <v>45</v>
      </c>
    </row>
    <row r="7" customFormat="false" ht="15" hidden="false" customHeight="false" outlineLevel="0" collapsed="false">
      <c r="A7" s="12" t="s">
        <v>43</v>
      </c>
      <c r="B7" s="12" t="s">
        <v>49</v>
      </c>
      <c r="C7" s="12" t="s">
        <v>50</v>
      </c>
    </row>
    <row r="8" customFormat="false" ht="15" hidden="false" customHeight="false" outlineLevel="0" collapsed="false">
      <c r="A8" s="11" t="s">
        <v>43</v>
      </c>
      <c r="B8" s="11" t="s">
        <v>51</v>
      </c>
      <c r="C8" s="11" t="s">
        <v>45</v>
      </c>
    </row>
    <row r="9" customFormat="false" ht="15" hidden="false" customHeight="false" outlineLevel="0" collapsed="false">
      <c r="A9" s="12" t="s">
        <v>43</v>
      </c>
      <c r="B9" s="12" t="s">
        <v>52</v>
      </c>
      <c r="C9" s="12" t="s">
        <v>53</v>
      </c>
    </row>
    <row r="10" customFormat="false" ht="15" hidden="false" customHeight="false" outlineLevel="0" collapsed="false">
      <c r="A10" s="11" t="s">
        <v>43</v>
      </c>
      <c r="B10" s="11" t="s">
        <v>54</v>
      </c>
      <c r="C10" s="11" t="s">
        <v>55</v>
      </c>
    </row>
    <row r="11" customFormat="false" ht="15" hidden="false" customHeight="false" outlineLevel="0" collapsed="false">
      <c r="A11" s="12" t="s">
        <v>56</v>
      </c>
      <c r="B11" s="12" t="s">
        <v>57</v>
      </c>
      <c r="C11" s="12" t="s">
        <v>58</v>
      </c>
    </row>
    <row r="12" customFormat="false" ht="15" hidden="false" customHeight="false" outlineLevel="0" collapsed="false">
      <c r="A12" s="11" t="s">
        <v>56</v>
      </c>
      <c r="B12" s="11" t="s">
        <v>59</v>
      </c>
      <c r="C12" s="11" t="s">
        <v>60</v>
      </c>
    </row>
    <row r="13" customFormat="false" ht="15" hidden="false" customHeight="false" outlineLevel="0" collapsed="false">
      <c r="A13" s="12" t="s">
        <v>56</v>
      </c>
      <c r="B13" s="12" t="s">
        <v>61</v>
      </c>
      <c r="C13" s="12" t="s">
        <v>62</v>
      </c>
    </row>
    <row r="14" customFormat="false" ht="15" hidden="false" customHeight="false" outlineLevel="0" collapsed="false">
      <c r="A14" s="11" t="s">
        <v>63</v>
      </c>
      <c r="B14" s="11" t="s">
        <v>64</v>
      </c>
      <c r="C14" s="11" t="s">
        <v>65</v>
      </c>
    </row>
    <row r="15" customFormat="false" ht="15" hidden="false" customHeight="false" outlineLevel="0" collapsed="false">
      <c r="A15" s="12" t="s">
        <v>63</v>
      </c>
      <c r="B15" s="12" t="s">
        <v>66</v>
      </c>
      <c r="C15" s="12" t="s">
        <v>67</v>
      </c>
    </row>
    <row r="16" customFormat="false" ht="15" hidden="false" customHeight="false" outlineLevel="0" collapsed="false">
      <c r="A16" s="11" t="s">
        <v>68</v>
      </c>
      <c r="B16" s="11" t="s">
        <v>69</v>
      </c>
      <c r="C16" s="11" t="s">
        <v>70</v>
      </c>
    </row>
    <row r="17" customFormat="false" ht="23.85" hidden="false" customHeight="false" outlineLevel="0" collapsed="false">
      <c r="A17" s="12" t="s">
        <v>68</v>
      </c>
      <c r="B17" s="12" t="s">
        <v>71</v>
      </c>
      <c r="C17" s="12" t="s">
        <v>72</v>
      </c>
    </row>
    <row r="18" customFormat="false" ht="15" hidden="false" customHeight="false" outlineLevel="0" collapsed="false">
      <c r="A18" s="11" t="s">
        <v>68</v>
      </c>
      <c r="B18" s="11" t="s">
        <v>73</v>
      </c>
      <c r="C18" s="11" t="s">
        <v>74</v>
      </c>
    </row>
    <row r="19" customFormat="false" ht="15" hidden="false" customHeight="false" outlineLevel="0" collapsed="false">
      <c r="A19" s="12" t="s">
        <v>68</v>
      </c>
      <c r="B19" s="12" t="s">
        <v>75</v>
      </c>
      <c r="C19" s="12" t="s">
        <v>76</v>
      </c>
    </row>
    <row r="20" customFormat="false" ht="15" hidden="false" customHeight="false" outlineLevel="0" collapsed="false">
      <c r="A20" s="11" t="s">
        <v>77</v>
      </c>
      <c r="B20" s="11" t="s">
        <v>78</v>
      </c>
      <c r="C20" s="11" t="s">
        <v>79</v>
      </c>
    </row>
    <row r="21" customFormat="false" ht="15" hidden="false" customHeight="false" outlineLevel="0" collapsed="false">
      <c r="A21" s="12" t="s">
        <v>77</v>
      </c>
      <c r="B21" s="12" t="s">
        <v>80</v>
      </c>
      <c r="C21" s="12" t="s">
        <v>81</v>
      </c>
    </row>
    <row r="22" customFormat="false" ht="15" hidden="false" customHeight="false" outlineLevel="0" collapsed="false">
      <c r="A22" s="11" t="s">
        <v>82</v>
      </c>
      <c r="B22" s="11" t="s">
        <v>83</v>
      </c>
      <c r="C22" s="11" t="s">
        <v>84</v>
      </c>
    </row>
    <row r="23" customFormat="false" ht="15" hidden="false" customHeight="false" outlineLevel="0" collapsed="false">
      <c r="A23" s="12" t="s">
        <v>82</v>
      </c>
      <c r="B23" s="12" t="s">
        <v>85</v>
      </c>
      <c r="C23" s="12" t="s">
        <v>86</v>
      </c>
    </row>
    <row r="24" customFormat="false" ht="15" hidden="false" customHeight="false" outlineLevel="0" collapsed="false">
      <c r="A24" s="11" t="s">
        <v>87</v>
      </c>
      <c r="B24" s="11" t="s">
        <v>88</v>
      </c>
      <c r="C24" s="11" t="s">
        <v>89</v>
      </c>
    </row>
    <row r="25" customFormat="false" ht="15" hidden="false" customHeight="false" outlineLevel="0" collapsed="false">
      <c r="A25" s="12" t="s">
        <v>87</v>
      </c>
      <c r="B25" s="12" t="s">
        <v>90</v>
      </c>
      <c r="C25" s="12" t="s">
        <v>91</v>
      </c>
    </row>
    <row r="26" customFormat="false" ht="15" hidden="false" customHeight="false" outlineLevel="0" collapsed="false">
      <c r="A26" s="11" t="s">
        <v>92</v>
      </c>
      <c r="B26" s="11" t="s">
        <v>93</v>
      </c>
      <c r="C26" s="11" t="s">
        <v>94</v>
      </c>
    </row>
    <row r="27" customFormat="false" ht="15" hidden="false" customHeight="false" outlineLevel="0" collapsed="false">
      <c r="A27" s="12" t="s">
        <v>95</v>
      </c>
      <c r="B27" s="12" t="s">
        <v>96</v>
      </c>
      <c r="C27" s="12" t="s">
        <v>97</v>
      </c>
    </row>
    <row r="28" customFormat="false" ht="15" hidden="false" customHeight="false" outlineLevel="0" collapsed="false">
      <c r="A28" s="11" t="s">
        <v>95</v>
      </c>
      <c r="B28" s="11" t="s">
        <v>98</v>
      </c>
      <c r="C28" s="11" t="s">
        <v>99</v>
      </c>
    </row>
    <row r="29" customFormat="false" ht="15" hidden="false" customHeight="false" outlineLevel="0" collapsed="false">
      <c r="A29" s="12" t="s">
        <v>100</v>
      </c>
      <c r="B29" s="12" t="s">
        <v>101</v>
      </c>
      <c r="C29" s="12" t="s">
        <v>102</v>
      </c>
    </row>
    <row r="30" customFormat="false" ht="15" hidden="false" customHeight="false" outlineLevel="0" collapsed="false">
      <c r="A30" s="11" t="s">
        <v>100</v>
      </c>
      <c r="B30" s="11" t="s">
        <v>103</v>
      </c>
      <c r="C30" s="11" t="s">
        <v>104</v>
      </c>
    </row>
    <row r="31" customFormat="false" ht="15" hidden="false" customHeight="false" outlineLevel="0" collapsed="false">
      <c r="A31" s="12" t="s">
        <v>100</v>
      </c>
      <c r="B31" s="12" t="s">
        <v>105</v>
      </c>
      <c r="C31" s="12" t="s">
        <v>106</v>
      </c>
    </row>
    <row r="32" customFormat="false" ht="15" hidden="false" customHeight="false" outlineLevel="0" collapsed="false">
      <c r="A32" s="11" t="s">
        <v>100</v>
      </c>
      <c r="B32" s="11" t="s">
        <v>107</v>
      </c>
      <c r="C32" s="11" t="s">
        <v>108</v>
      </c>
    </row>
    <row r="33" customFormat="false" ht="15" hidden="false" customHeight="false" outlineLevel="0" collapsed="false">
      <c r="A33" s="12" t="s">
        <v>109</v>
      </c>
      <c r="B33" s="12" t="s">
        <v>110</v>
      </c>
      <c r="C33" s="12" t="s">
        <v>111</v>
      </c>
    </row>
    <row r="34" customFormat="false" ht="15" hidden="false" customHeight="false" outlineLevel="0" collapsed="false">
      <c r="A34" s="11" t="s">
        <v>109</v>
      </c>
      <c r="B34" s="11" t="s">
        <v>112</v>
      </c>
      <c r="C34" s="11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28"/>
    <col collapsed="false" customWidth="true" hidden="false" outlineLevel="0" max="6" min="6" style="0" width="4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5"/>
    <col collapsed="false" customWidth="true" hidden="false" outlineLevel="0" max="11" min="10" style="0" width="13"/>
    <col collapsed="false" customWidth="true" hidden="false" outlineLevel="0" max="12" min="12" style="0" width="22"/>
    <col collapsed="false" customWidth="true" hidden="false" outlineLevel="0" max="13" min="13" style="0" width="28"/>
  </cols>
  <sheetData>
    <row r="1" customFormat="false" ht="23.85" hidden="false" customHeight="false" outlineLevel="0" collapsed="false">
      <c r="A1" s="13" t="s">
        <v>114</v>
      </c>
      <c r="B1" s="13" t="s">
        <v>115</v>
      </c>
      <c r="C1" s="13" t="s">
        <v>116</v>
      </c>
      <c r="D1" s="13" t="s">
        <v>117</v>
      </c>
      <c r="E1" s="13" t="s">
        <v>118</v>
      </c>
      <c r="F1" s="13" t="s">
        <v>119</v>
      </c>
      <c r="G1" s="13" t="s">
        <v>120</v>
      </c>
      <c r="H1" s="13" t="s">
        <v>121</v>
      </c>
      <c r="I1" s="13" t="s">
        <v>122</v>
      </c>
      <c r="J1" s="13" t="s">
        <v>123</v>
      </c>
      <c r="K1" s="13" t="s">
        <v>124</v>
      </c>
      <c r="L1" s="13" t="s">
        <v>125</v>
      </c>
      <c r="M1" s="13" t="s">
        <v>126</v>
      </c>
    </row>
    <row r="2" customFormat="false" ht="23.85" hidden="false" customHeight="false" outlineLevel="0" collapsed="false">
      <c r="A2" s="11" t="s">
        <v>127</v>
      </c>
      <c r="B2" s="11" t="s">
        <v>128</v>
      </c>
      <c r="C2" s="11" t="s">
        <v>129</v>
      </c>
      <c r="D2" s="11" t="s">
        <v>130</v>
      </c>
      <c r="E2" s="11" t="s">
        <v>131</v>
      </c>
      <c r="F2" s="11" t="s">
        <v>132</v>
      </c>
      <c r="G2" s="11" t="s">
        <v>133</v>
      </c>
      <c r="H2" s="11" t="s">
        <v>134</v>
      </c>
      <c r="I2" s="11" t="s">
        <v>135</v>
      </c>
      <c r="J2" s="11" t="s">
        <v>136</v>
      </c>
      <c r="K2" s="11" t="s">
        <v>137</v>
      </c>
      <c r="L2" s="11"/>
      <c r="M2" s="11"/>
    </row>
    <row r="3" customFormat="false" ht="23.85" hidden="false" customHeight="false" outlineLevel="0" collapsed="false">
      <c r="A3" s="12" t="s">
        <v>138</v>
      </c>
      <c r="B3" s="12" t="s">
        <v>128</v>
      </c>
      <c r="C3" s="12" t="s">
        <v>129</v>
      </c>
      <c r="D3" s="12" t="s">
        <v>139</v>
      </c>
      <c r="E3" s="12" t="s">
        <v>140</v>
      </c>
      <c r="F3" s="12" t="s">
        <v>141</v>
      </c>
      <c r="G3" s="12" t="s">
        <v>142</v>
      </c>
      <c r="H3" s="12" t="s">
        <v>143</v>
      </c>
      <c r="I3" s="12" t="s">
        <v>144</v>
      </c>
      <c r="J3" s="12" t="s">
        <v>136</v>
      </c>
      <c r="K3" s="12" t="s">
        <v>137</v>
      </c>
      <c r="L3" s="12"/>
      <c r="M3" s="12"/>
    </row>
    <row r="4" customFormat="false" ht="23.85" hidden="false" customHeight="false" outlineLevel="0" collapsed="false">
      <c r="A4" s="11" t="s">
        <v>145</v>
      </c>
      <c r="B4" s="11" t="s">
        <v>128</v>
      </c>
      <c r="C4" s="11" t="s">
        <v>129</v>
      </c>
      <c r="D4" s="11" t="s">
        <v>146</v>
      </c>
      <c r="E4" s="11" t="s">
        <v>147</v>
      </c>
      <c r="F4" s="11" t="s">
        <v>148</v>
      </c>
      <c r="G4" s="11" t="s">
        <v>149</v>
      </c>
      <c r="H4" s="11" t="s">
        <v>150</v>
      </c>
      <c r="I4" s="11" t="s">
        <v>144</v>
      </c>
      <c r="J4" s="11" t="s">
        <v>136</v>
      </c>
      <c r="K4" s="11" t="s">
        <v>137</v>
      </c>
      <c r="L4" s="11"/>
      <c r="M4" s="11"/>
    </row>
    <row r="5" customFormat="false" ht="23.85" hidden="false" customHeight="false" outlineLevel="0" collapsed="false">
      <c r="A5" s="12" t="s">
        <v>151</v>
      </c>
      <c r="B5" s="12" t="s">
        <v>128</v>
      </c>
      <c r="C5" s="12" t="s">
        <v>129</v>
      </c>
      <c r="D5" s="12" t="s">
        <v>152</v>
      </c>
      <c r="E5" s="12" t="s">
        <v>153</v>
      </c>
      <c r="F5" s="12" t="s">
        <v>154</v>
      </c>
      <c r="G5" s="12" t="s">
        <v>142</v>
      </c>
      <c r="H5" s="12" t="s">
        <v>155</v>
      </c>
      <c r="I5" s="12" t="s">
        <v>144</v>
      </c>
      <c r="J5" s="12" t="s">
        <v>136</v>
      </c>
      <c r="K5" s="12" t="s">
        <v>137</v>
      </c>
      <c r="L5" s="12"/>
      <c r="M5" s="12"/>
    </row>
    <row r="6" customFormat="false" ht="23.85" hidden="false" customHeight="false" outlineLevel="0" collapsed="false">
      <c r="A6" s="11" t="s">
        <v>156</v>
      </c>
      <c r="B6" s="11" t="s">
        <v>128</v>
      </c>
      <c r="C6" s="11" t="s">
        <v>129</v>
      </c>
      <c r="D6" s="11" t="s">
        <v>157</v>
      </c>
      <c r="E6" s="11" t="s">
        <v>158</v>
      </c>
      <c r="F6" s="11" t="s">
        <v>159</v>
      </c>
      <c r="G6" s="11" t="s">
        <v>142</v>
      </c>
      <c r="H6" s="11" t="s">
        <v>160</v>
      </c>
      <c r="I6" s="11" t="s">
        <v>135</v>
      </c>
      <c r="J6" s="11" t="s">
        <v>136</v>
      </c>
      <c r="K6" s="11" t="s">
        <v>137</v>
      </c>
      <c r="L6" s="11"/>
      <c r="M6" s="11"/>
    </row>
    <row r="7" customFormat="false" ht="15" hidden="false" customHeight="false" outlineLevel="0" collapsed="false">
      <c r="A7" s="12" t="s">
        <v>161</v>
      </c>
      <c r="B7" s="12" t="s">
        <v>128</v>
      </c>
      <c r="C7" s="12" t="s">
        <v>129</v>
      </c>
      <c r="D7" s="12" t="s">
        <v>162</v>
      </c>
      <c r="E7" s="12" t="s">
        <v>163</v>
      </c>
      <c r="F7" s="12" t="s">
        <v>164</v>
      </c>
      <c r="G7" s="12" t="s">
        <v>165</v>
      </c>
      <c r="H7" s="12" t="s">
        <v>166</v>
      </c>
      <c r="I7" s="12" t="s">
        <v>135</v>
      </c>
      <c r="J7" s="12" t="s">
        <v>136</v>
      </c>
      <c r="K7" s="12" t="s">
        <v>137</v>
      </c>
      <c r="L7" s="12"/>
      <c r="M7" s="12"/>
    </row>
    <row r="8" customFormat="false" ht="23.85" hidden="false" customHeight="false" outlineLevel="0" collapsed="false">
      <c r="A8" s="11" t="s">
        <v>167</v>
      </c>
      <c r="B8" s="11" t="s">
        <v>128</v>
      </c>
      <c r="C8" s="11" t="s">
        <v>129</v>
      </c>
      <c r="D8" s="11" t="s">
        <v>168</v>
      </c>
      <c r="E8" s="11" t="s">
        <v>142</v>
      </c>
      <c r="F8" s="11" t="s">
        <v>169</v>
      </c>
      <c r="G8" s="11" t="s">
        <v>170</v>
      </c>
      <c r="H8" s="11" t="s">
        <v>171</v>
      </c>
      <c r="I8" s="11" t="s">
        <v>172</v>
      </c>
      <c r="J8" s="11" t="s">
        <v>173</v>
      </c>
      <c r="K8" s="11" t="s">
        <v>137</v>
      </c>
      <c r="L8" s="11"/>
      <c r="M8" s="11"/>
    </row>
    <row r="9" customFormat="false" ht="23.85" hidden="false" customHeight="false" outlineLevel="0" collapsed="false">
      <c r="A9" s="12" t="s">
        <v>174</v>
      </c>
      <c r="B9" s="12" t="s">
        <v>128</v>
      </c>
      <c r="C9" s="12" t="s">
        <v>129</v>
      </c>
      <c r="D9" s="12" t="s">
        <v>175</v>
      </c>
      <c r="E9" s="12" t="s">
        <v>176</v>
      </c>
      <c r="F9" s="12" t="s">
        <v>177</v>
      </c>
      <c r="G9" s="12" t="s">
        <v>142</v>
      </c>
      <c r="H9" s="12" t="s">
        <v>178</v>
      </c>
      <c r="I9" s="12" t="s">
        <v>144</v>
      </c>
      <c r="J9" s="12" t="s">
        <v>173</v>
      </c>
      <c r="K9" s="12" t="s">
        <v>137</v>
      </c>
      <c r="L9" s="12"/>
      <c r="M9" s="12"/>
    </row>
    <row r="10" customFormat="false" ht="23.85" hidden="false" customHeight="false" outlineLevel="0" collapsed="false">
      <c r="A10" s="11" t="s">
        <v>179</v>
      </c>
      <c r="B10" s="11" t="s">
        <v>128</v>
      </c>
      <c r="C10" s="11" t="s">
        <v>129</v>
      </c>
      <c r="D10" s="11" t="s">
        <v>180</v>
      </c>
      <c r="E10" s="11" t="s">
        <v>181</v>
      </c>
      <c r="F10" s="11" t="s">
        <v>182</v>
      </c>
      <c r="G10" s="11" t="s">
        <v>142</v>
      </c>
      <c r="H10" s="11" t="s">
        <v>183</v>
      </c>
      <c r="I10" s="11" t="s">
        <v>144</v>
      </c>
      <c r="J10" s="11" t="s">
        <v>136</v>
      </c>
      <c r="K10" s="11" t="s">
        <v>137</v>
      </c>
      <c r="L10" s="11"/>
      <c r="M10" s="11"/>
    </row>
    <row r="11" customFormat="false" ht="23.85" hidden="false" customHeight="false" outlineLevel="0" collapsed="false">
      <c r="A11" s="12" t="s">
        <v>184</v>
      </c>
      <c r="B11" s="12" t="s">
        <v>185</v>
      </c>
      <c r="C11" s="12" t="s">
        <v>186</v>
      </c>
      <c r="D11" s="12" t="s">
        <v>187</v>
      </c>
      <c r="E11" s="12" t="s">
        <v>188</v>
      </c>
      <c r="F11" s="12" t="s">
        <v>189</v>
      </c>
      <c r="G11" s="12" t="s">
        <v>142</v>
      </c>
      <c r="H11" s="12" t="s">
        <v>190</v>
      </c>
      <c r="I11" s="12" t="s">
        <v>135</v>
      </c>
      <c r="J11" s="12" t="s">
        <v>136</v>
      </c>
      <c r="K11" s="12" t="s">
        <v>137</v>
      </c>
      <c r="L11" s="12"/>
      <c r="M11" s="12"/>
    </row>
    <row r="12" customFormat="false" ht="23.85" hidden="false" customHeight="false" outlineLevel="0" collapsed="false">
      <c r="A12" s="11" t="s">
        <v>191</v>
      </c>
      <c r="B12" s="11" t="s">
        <v>185</v>
      </c>
      <c r="C12" s="11" t="s">
        <v>186</v>
      </c>
      <c r="D12" s="11" t="s">
        <v>192</v>
      </c>
      <c r="E12" s="11" t="s">
        <v>193</v>
      </c>
      <c r="F12" s="11" t="s">
        <v>194</v>
      </c>
      <c r="G12" s="11" t="s">
        <v>142</v>
      </c>
      <c r="H12" s="11" t="s">
        <v>195</v>
      </c>
      <c r="I12" s="11" t="s">
        <v>135</v>
      </c>
      <c r="J12" s="11" t="s">
        <v>136</v>
      </c>
      <c r="K12" s="11" t="s">
        <v>137</v>
      </c>
      <c r="L12" s="11"/>
      <c r="M12" s="11"/>
    </row>
    <row r="13" customFormat="false" ht="23.85" hidden="false" customHeight="false" outlineLevel="0" collapsed="false">
      <c r="A13" s="12" t="s">
        <v>196</v>
      </c>
      <c r="B13" s="12" t="s">
        <v>185</v>
      </c>
      <c r="C13" s="12" t="s">
        <v>186</v>
      </c>
      <c r="D13" s="12" t="s">
        <v>197</v>
      </c>
      <c r="E13" s="12" t="s">
        <v>198</v>
      </c>
      <c r="F13" s="12" t="s">
        <v>194</v>
      </c>
      <c r="G13" s="12" t="s">
        <v>199</v>
      </c>
      <c r="H13" s="12" t="s">
        <v>200</v>
      </c>
      <c r="I13" s="12" t="s">
        <v>144</v>
      </c>
      <c r="J13" s="12" t="s">
        <v>136</v>
      </c>
      <c r="K13" s="12" t="s">
        <v>137</v>
      </c>
      <c r="L13" s="12"/>
      <c r="M13" s="12"/>
    </row>
    <row r="14" customFormat="false" ht="23.85" hidden="false" customHeight="false" outlineLevel="0" collapsed="false">
      <c r="A14" s="11" t="s">
        <v>201</v>
      </c>
      <c r="B14" s="11" t="s">
        <v>185</v>
      </c>
      <c r="C14" s="11" t="s">
        <v>186</v>
      </c>
      <c r="D14" s="11" t="s">
        <v>202</v>
      </c>
      <c r="E14" s="11" t="s">
        <v>203</v>
      </c>
      <c r="F14" s="11" t="s">
        <v>204</v>
      </c>
      <c r="G14" s="11" t="s">
        <v>52</v>
      </c>
      <c r="H14" s="11" t="s">
        <v>205</v>
      </c>
      <c r="I14" s="11" t="s">
        <v>144</v>
      </c>
      <c r="J14" s="11" t="s">
        <v>136</v>
      </c>
      <c r="K14" s="11" t="s">
        <v>137</v>
      </c>
      <c r="L14" s="11"/>
      <c r="M14" s="11"/>
    </row>
    <row r="15" customFormat="false" ht="23.85" hidden="false" customHeight="false" outlineLevel="0" collapsed="false">
      <c r="A15" s="12" t="s">
        <v>206</v>
      </c>
      <c r="B15" s="12" t="s">
        <v>185</v>
      </c>
      <c r="C15" s="12" t="s">
        <v>186</v>
      </c>
      <c r="D15" s="12" t="s">
        <v>207</v>
      </c>
      <c r="E15" s="12" t="s">
        <v>208</v>
      </c>
      <c r="F15" s="12" t="s">
        <v>209</v>
      </c>
      <c r="G15" s="12" t="s">
        <v>142</v>
      </c>
      <c r="H15" s="12" t="s">
        <v>210</v>
      </c>
      <c r="I15" s="12" t="s">
        <v>135</v>
      </c>
      <c r="J15" s="12" t="s">
        <v>136</v>
      </c>
      <c r="K15" s="12" t="s">
        <v>137</v>
      </c>
      <c r="L15" s="12"/>
      <c r="M15" s="12"/>
    </row>
    <row r="16" customFormat="false" ht="15" hidden="false" customHeight="false" outlineLevel="0" collapsed="false">
      <c r="A16" s="11" t="s">
        <v>211</v>
      </c>
      <c r="B16" s="11" t="s">
        <v>185</v>
      </c>
      <c r="C16" s="11" t="s">
        <v>186</v>
      </c>
      <c r="D16" s="11" t="s">
        <v>212</v>
      </c>
      <c r="E16" s="11" t="s">
        <v>208</v>
      </c>
      <c r="F16" s="11" t="s">
        <v>213</v>
      </c>
      <c r="G16" s="11" t="s">
        <v>142</v>
      </c>
      <c r="H16" s="11" t="s">
        <v>214</v>
      </c>
      <c r="I16" s="11" t="s">
        <v>135</v>
      </c>
      <c r="J16" s="11" t="s">
        <v>136</v>
      </c>
      <c r="K16" s="11" t="s">
        <v>137</v>
      </c>
      <c r="L16" s="11"/>
      <c r="M16" s="11"/>
    </row>
    <row r="17" customFormat="false" ht="23.85" hidden="false" customHeight="false" outlineLevel="0" collapsed="false">
      <c r="A17" s="12" t="s">
        <v>215</v>
      </c>
      <c r="B17" s="12" t="s">
        <v>185</v>
      </c>
      <c r="C17" s="12" t="s">
        <v>186</v>
      </c>
      <c r="D17" s="12" t="s">
        <v>216</v>
      </c>
      <c r="E17" s="12" t="s">
        <v>217</v>
      </c>
      <c r="F17" s="12" t="s">
        <v>218</v>
      </c>
      <c r="G17" s="12" t="s">
        <v>44</v>
      </c>
      <c r="H17" s="12" t="s">
        <v>219</v>
      </c>
      <c r="I17" s="12" t="s">
        <v>135</v>
      </c>
      <c r="J17" s="12" t="s">
        <v>136</v>
      </c>
      <c r="K17" s="12" t="s">
        <v>137</v>
      </c>
      <c r="L17" s="12"/>
      <c r="M17" s="12"/>
    </row>
    <row r="18" customFormat="false" ht="23.85" hidden="false" customHeight="false" outlineLevel="0" collapsed="false">
      <c r="A18" s="11" t="s">
        <v>220</v>
      </c>
      <c r="B18" s="11" t="s">
        <v>185</v>
      </c>
      <c r="C18" s="11" t="s">
        <v>186</v>
      </c>
      <c r="D18" s="11" t="s">
        <v>221</v>
      </c>
      <c r="E18" s="11" t="s">
        <v>222</v>
      </c>
      <c r="F18" s="11" t="s">
        <v>223</v>
      </c>
      <c r="G18" s="11" t="s">
        <v>224</v>
      </c>
      <c r="H18" s="11" t="s">
        <v>225</v>
      </c>
      <c r="I18" s="11" t="s">
        <v>144</v>
      </c>
      <c r="J18" s="11" t="s">
        <v>136</v>
      </c>
      <c r="K18" s="11" t="s">
        <v>137</v>
      </c>
      <c r="L18" s="11"/>
      <c r="M18" s="11"/>
    </row>
    <row r="19" customFormat="false" ht="23.85" hidden="false" customHeight="false" outlineLevel="0" collapsed="false">
      <c r="A19" s="12" t="s">
        <v>226</v>
      </c>
      <c r="B19" s="12" t="s">
        <v>185</v>
      </c>
      <c r="C19" s="12" t="s">
        <v>186</v>
      </c>
      <c r="D19" s="12" t="s">
        <v>227</v>
      </c>
      <c r="E19" s="12" t="s">
        <v>228</v>
      </c>
      <c r="F19" s="12" t="s">
        <v>229</v>
      </c>
      <c r="G19" s="12" t="s">
        <v>230</v>
      </c>
      <c r="H19" s="12" t="s">
        <v>231</v>
      </c>
      <c r="I19" s="12" t="s">
        <v>144</v>
      </c>
      <c r="J19" s="12" t="s">
        <v>136</v>
      </c>
      <c r="K19" s="12" t="s">
        <v>137</v>
      </c>
      <c r="L19" s="12"/>
      <c r="M19" s="12"/>
    </row>
    <row r="20" customFormat="false" ht="23.85" hidden="false" customHeight="false" outlineLevel="0" collapsed="false">
      <c r="A20" s="11" t="s">
        <v>232</v>
      </c>
      <c r="B20" s="11" t="s">
        <v>185</v>
      </c>
      <c r="C20" s="11" t="s">
        <v>186</v>
      </c>
      <c r="D20" s="11" t="s">
        <v>233</v>
      </c>
      <c r="E20" s="11" t="s">
        <v>234</v>
      </c>
      <c r="F20" s="11" t="s">
        <v>235</v>
      </c>
      <c r="G20" s="11" t="s">
        <v>142</v>
      </c>
      <c r="H20" s="11" t="s">
        <v>236</v>
      </c>
      <c r="I20" s="11" t="s">
        <v>144</v>
      </c>
      <c r="J20" s="11" t="s">
        <v>136</v>
      </c>
      <c r="K20" s="11" t="s">
        <v>137</v>
      </c>
      <c r="L20" s="11"/>
      <c r="M20" s="11"/>
    </row>
    <row r="21" customFormat="false" ht="23.85" hidden="false" customHeight="false" outlineLevel="0" collapsed="false">
      <c r="A21" s="12" t="s">
        <v>237</v>
      </c>
      <c r="B21" s="12" t="s">
        <v>185</v>
      </c>
      <c r="C21" s="12" t="s">
        <v>186</v>
      </c>
      <c r="D21" s="12" t="s">
        <v>238</v>
      </c>
      <c r="E21" s="12" t="s">
        <v>239</v>
      </c>
      <c r="F21" s="12" t="s">
        <v>240</v>
      </c>
      <c r="G21" s="12" t="s">
        <v>241</v>
      </c>
      <c r="H21" s="12" t="s">
        <v>242</v>
      </c>
      <c r="I21" s="12" t="s">
        <v>144</v>
      </c>
      <c r="J21" s="12" t="s">
        <v>136</v>
      </c>
      <c r="K21" s="12" t="s">
        <v>137</v>
      </c>
      <c r="L21" s="12"/>
      <c r="M21" s="12"/>
    </row>
    <row r="22" customFormat="false" ht="23.85" hidden="false" customHeight="false" outlineLevel="0" collapsed="false">
      <c r="A22" s="11" t="s">
        <v>243</v>
      </c>
      <c r="B22" s="11" t="s">
        <v>185</v>
      </c>
      <c r="C22" s="11" t="s">
        <v>186</v>
      </c>
      <c r="D22" s="11" t="s">
        <v>244</v>
      </c>
      <c r="E22" s="11" t="s">
        <v>245</v>
      </c>
      <c r="F22" s="11" t="s">
        <v>246</v>
      </c>
      <c r="G22" s="11" t="s">
        <v>142</v>
      </c>
      <c r="H22" s="11" t="s">
        <v>247</v>
      </c>
      <c r="I22" s="11" t="s">
        <v>144</v>
      </c>
      <c r="J22" s="11" t="s">
        <v>136</v>
      </c>
      <c r="K22" s="11" t="s">
        <v>137</v>
      </c>
      <c r="L22" s="11"/>
      <c r="M22" s="11"/>
    </row>
    <row r="23" customFormat="false" ht="15" hidden="false" customHeight="false" outlineLevel="0" collapsed="false">
      <c r="A23" s="12" t="s">
        <v>248</v>
      </c>
      <c r="B23" s="12" t="s">
        <v>185</v>
      </c>
      <c r="C23" s="12" t="s">
        <v>186</v>
      </c>
      <c r="D23" s="12" t="s">
        <v>249</v>
      </c>
      <c r="E23" s="12" t="s">
        <v>250</v>
      </c>
      <c r="F23" s="12" t="s">
        <v>251</v>
      </c>
      <c r="G23" s="12" t="s">
        <v>142</v>
      </c>
      <c r="H23" s="12" t="s">
        <v>252</v>
      </c>
      <c r="I23" s="12" t="s">
        <v>135</v>
      </c>
      <c r="J23" s="12" t="s">
        <v>136</v>
      </c>
      <c r="K23" s="12" t="s">
        <v>137</v>
      </c>
      <c r="L23" s="12"/>
      <c r="M23" s="12"/>
    </row>
    <row r="24" customFormat="false" ht="15" hidden="false" customHeight="false" outlineLevel="0" collapsed="false">
      <c r="A24" s="11" t="s">
        <v>253</v>
      </c>
      <c r="B24" s="11" t="s">
        <v>185</v>
      </c>
      <c r="C24" s="11" t="s">
        <v>186</v>
      </c>
      <c r="D24" s="11" t="s">
        <v>254</v>
      </c>
      <c r="E24" s="11" t="s">
        <v>255</v>
      </c>
      <c r="F24" s="11" t="s">
        <v>256</v>
      </c>
      <c r="G24" s="11" t="s">
        <v>142</v>
      </c>
      <c r="H24" s="11" t="s">
        <v>257</v>
      </c>
      <c r="I24" s="11" t="s">
        <v>135</v>
      </c>
      <c r="J24" s="11" t="s">
        <v>136</v>
      </c>
      <c r="K24" s="11" t="s">
        <v>137</v>
      </c>
      <c r="L24" s="11"/>
      <c r="M24" s="11"/>
    </row>
    <row r="25" customFormat="false" ht="23.85" hidden="false" customHeight="false" outlineLevel="0" collapsed="false">
      <c r="A25" s="12" t="s">
        <v>258</v>
      </c>
      <c r="B25" s="12" t="s">
        <v>185</v>
      </c>
      <c r="C25" s="12" t="s">
        <v>186</v>
      </c>
      <c r="D25" s="12" t="s">
        <v>259</v>
      </c>
      <c r="E25" s="12" t="s">
        <v>260</v>
      </c>
      <c r="F25" s="12" t="s">
        <v>261</v>
      </c>
      <c r="G25" s="12" t="s">
        <v>142</v>
      </c>
      <c r="H25" s="12" t="s">
        <v>262</v>
      </c>
      <c r="I25" s="12" t="s">
        <v>172</v>
      </c>
      <c r="J25" s="12" t="s">
        <v>136</v>
      </c>
      <c r="K25" s="12" t="s">
        <v>137</v>
      </c>
      <c r="L25" s="12"/>
      <c r="M25" s="12"/>
    </row>
    <row r="26" customFormat="false" ht="23.85" hidden="false" customHeight="false" outlineLevel="0" collapsed="false">
      <c r="A26" s="11" t="s">
        <v>263</v>
      </c>
      <c r="B26" s="11" t="s">
        <v>185</v>
      </c>
      <c r="C26" s="11" t="s">
        <v>186</v>
      </c>
      <c r="D26" s="11" t="s">
        <v>264</v>
      </c>
      <c r="E26" s="11" t="s">
        <v>265</v>
      </c>
      <c r="F26" s="11" t="s">
        <v>266</v>
      </c>
      <c r="G26" s="11" t="s">
        <v>142</v>
      </c>
      <c r="H26" s="11" t="s">
        <v>267</v>
      </c>
      <c r="I26" s="11" t="s">
        <v>144</v>
      </c>
      <c r="J26" s="11" t="s">
        <v>173</v>
      </c>
      <c r="K26" s="11" t="s">
        <v>137</v>
      </c>
      <c r="L26" s="11"/>
      <c r="M26" s="11"/>
    </row>
    <row r="27" customFormat="false" ht="23.85" hidden="false" customHeight="false" outlineLevel="0" collapsed="false">
      <c r="A27" s="12" t="s">
        <v>268</v>
      </c>
      <c r="B27" s="12" t="s">
        <v>185</v>
      </c>
      <c r="C27" s="12" t="s">
        <v>186</v>
      </c>
      <c r="D27" s="12" t="s">
        <v>269</v>
      </c>
      <c r="E27" s="12" t="s">
        <v>270</v>
      </c>
      <c r="F27" s="12" t="s">
        <v>271</v>
      </c>
      <c r="G27" s="12" t="s">
        <v>142</v>
      </c>
      <c r="H27" s="12" t="s">
        <v>272</v>
      </c>
      <c r="I27" s="12" t="s">
        <v>144</v>
      </c>
      <c r="J27" s="12" t="s">
        <v>273</v>
      </c>
      <c r="K27" s="12" t="s">
        <v>137</v>
      </c>
      <c r="L27" s="12"/>
      <c r="M27" s="12"/>
    </row>
    <row r="28" customFormat="false" ht="23.85" hidden="false" customHeight="false" outlineLevel="0" collapsed="false">
      <c r="A28" s="11" t="s">
        <v>274</v>
      </c>
      <c r="B28" s="11" t="s">
        <v>185</v>
      </c>
      <c r="C28" s="11" t="s">
        <v>186</v>
      </c>
      <c r="D28" s="11" t="s">
        <v>275</v>
      </c>
      <c r="E28" s="11" t="s">
        <v>276</v>
      </c>
      <c r="F28" s="11" t="s">
        <v>271</v>
      </c>
      <c r="G28" s="11" t="s">
        <v>142</v>
      </c>
      <c r="H28" s="11" t="s">
        <v>277</v>
      </c>
      <c r="I28" s="11" t="s">
        <v>144</v>
      </c>
      <c r="J28" s="11" t="s">
        <v>273</v>
      </c>
      <c r="K28" s="11" t="s">
        <v>137</v>
      </c>
      <c r="L28" s="11"/>
      <c r="M28" s="11"/>
    </row>
    <row r="29" customFormat="false" ht="15" hidden="false" customHeight="false" outlineLevel="0" collapsed="false">
      <c r="A29" s="12" t="s">
        <v>278</v>
      </c>
      <c r="B29" s="12" t="s">
        <v>279</v>
      </c>
      <c r="C29" s="12" t="s">
        <v>280</v>
      </c>
      <c r="D29" s="12" t="s">
        <v>281</v>
      </c>
      <c r="E29" s="12" t="s">
        <v>282</v>
      </c>
      <c r="F29" s="12" t="s">
        <v>283</v>
      </c>
      <c r="G29" s="12" t="s">
        <v>142</v>
      </c>
      <c r="H29" s="12" t="s">
        <v>284</v>
      </c>
      <c r="I29" s="12" t="s">
        <v>144</v>
      </c>
      <c r="J29" s="12" t="s">
        <v>136</v>
      </c>
      <c r="K29" s="12" t="s">
        <v>137</v>
      </c>
      <c r="L29" s="12"/>
      <c r="M29" s="12"/>
    </row>
    <row r="30" customFormat="false" ht="23.85" hidden="false" customHeight="false" outlineLevel="0" collapsed="false">
      <c r="A30" s="11" t="s">
        <v>285</v>
      </c>
      <c r="B30" s="11" t="s">
        <v>279</v>
      </c>
      <c r="C30" s="11" t="s">
        <v>280</v>
      </c>
      <c r="D30" s="11" t="s">
        <v>286</v>
      </c>
      <c r="E30" s="11" t="s">
        <v>282</v>
      </c>
      <c r="F30" s="11" t="s">
        <v>287</v>
      </c>
      <c r="G30" s="11" t="s">
        <v>288</v>
      </c>
      <c r="H30" s="11" t="s">
        <v>289</v>
      </c>
      <c r="I30" s="11" t="s">
        <v>172</v>
      </c>
      <c r="J30" s="11" t="s">
        <v>173</v>
      </c>
      <c r="K30" s="11" t="s">
        <v>137</v>
      </c>
      <c r="L30" s="11"/>
      <c r="M30" s="11"/>
    </row>
    <row r="31" customFormat="false" ht="23.85" hidden="false" customHeight="false" outlineLevel="0" collapsed="false">
      <c r="A31" s="12" t="s">
        <v>290</v>
      </c>
      <c r="B31" s="12" t="s">
        <v>279</v>
      </c>
      <c r="C31" s="12" t="s">
        <v>280</v>
      </c>
      <c r="D31" s="12" t="s">
        <v>291</v>
      </c>
      <c r="E31" s="12" t="s">
        <v>292</v>
      </c>
      <c r="F31" s="12" t="s">
        <v>293</v>
      </c>
      <c r="G31" s="12" t="s">
        <v>294</v>
      </c>
      <c r="H31" s="12" t="s">
        <v>295</v>
      </c>
      <c r="I31" s="12" t="s">
        <v>172</v>
      </c>
      <c r="J31" s="12" t="s">
        <v>136</v>
      </c>
      <c r="K31" s="12" t="s">
        <v>137</v>
      </c>
      <c r="L31" s="12"/>
      <c r="M31" s="12"/>
    </row>
    <row r="32" customFormat="false" ht="23.85" hidden="false" customHeight="false" outlineLevel="0" collapsed="false">
      <c r="A32" s="11" t="s">
        <v>296</v>
      </c>
      <c r="B32" s="11" t="s">
        <v>279</v>
      </c>
      <c r="C32" s="11" t="s">
        <v>280</v>
      </c>
      <c r="D32" s="11" t="s">
        <v>297</v>
      </c>
      <c r="E32" s="11" t="s">
        <v>298</v>
      </c>
      <c r="F32" s="11" t="s">
        <v>299</v>
      </c>
      <c r="G32" s="11" t="s">
        <v>142</v>
      </c>
      <c r="H32" s="11" t="s">
        <v>300</v>
      </c>
      <c r="I32" s="11" t="s">
        <v>172</v>
      </c>
      <c r="J32" s="11" t="s">
        <v>136</v>
      </c>
      <c r="K32" s="11" t="s">
        <v>137</v>
      </c>
      <c r="L32" s="11"/>
      <c r="M32" s="11"/>
    </row>
    <row r="33" customFormat="false" ht="23.85" hidden="false" customHeight="false" outlineLevel="0" collapsed="false">
      <c r="A33" s="12" t="s">
        <v>301</v>
      </c>
      <c r="B33" s="12" t="s">
        <v>279</v>
      </c>
      <c r="C33" s="12" t="s">
        <v>280</v>
      </c>
      <c r="D33" s="12" t="s">
        <v>302</v>
      </c>
      <c r="E33" s="12" t="s">
        <v>298</v>
      </c>
      <c r="F33" s="12" t="s">
        <v>303</v>
      </c>
      <c r="G33" s="12" t="s">
        <v>142</v>
      </c>
      <c r="H33" s="12" t="s">
        <v>304</v>
      </c>
      <c r="I33" s="12" t="s">
        <v>144</v>
      </c>
      <c r="J33" s="12" t="s">
        <v>136</v>
      </c>
      <c r="K33" s="12" t="s">
        <v>137</v>
      </c>
      <c r="L33" s="12"/>
      <c r="M33" s="12"/>
    </row>
    <row r="34" customFormat="false" ht="23.85" hidden="false" customHeight="false" outlineLevel="0" collapsed="false">
      <c r="A34" s="11" t="s">
        <v>305</v>
      </c>
      <c r="B34" s="11" t="s">
        <v>279</v>
      </c>
      <c r="C34" s="11" t="s">
        <v>280</v>
      </c>
      <c r="D34" s="11" t="s">
        <v>306</v>
      </c>
      <c r="E34" s="11" t="s">
        <v>292</v>
      </c>
      <c r="F34" s="11" t="s">
        <v>307</v>
      </c>
      <c r="G34" s="11" t="s">
        <v>142</v>
      </c>
      <c r="H34" s="11" t="s">
        <v>308</v>
      </c>
      <c r="I34" s="11" t="s">
        <v>144</v>
      </c>
      <c r="J34" s="11" t="s">
        <v>136</v>
      </c>
      <c r="K34" s="11" t="s">
        <v>137</v>
      </c>
      <c r="L34" s="11"/>
      <c r="M34" s="11"/>
    </row>
    <row r="35" customFormat="false" ht="23.85" hidden="false" customHeight="false" outlineLevel="0" collapsed="false">
      <c r="A35" s="12" t="s">
        <v>309</v>
      </c>
      <c r="B35" s="12" t="s">
        <v>279</v>
      </c>
      <c r="C35" s="12" t="s">
        <v>280</v>
      </c>
      <c r="D35" s="12" t="s">
        <v>310</v>
      </c>
      <c r="E35" s="12" t="s">
        <v>311</v>
      </c>
      <c r="F35" s="12" t="s">
        <v>312</v>
      </c>
      <c r="G35" s="12" t="s">
        <v>142</v>
      </c>
      <c r="H35" s="12" t="s">
        <v>313</v>
      </c>
      <c r="I35" s="12" t="s">
        <v>144</v>
      </c>
      <c r="J35" s="12" t="s">
        <v>136</v>
      </c>
      <c r="K35" s="12" t="s">
        <v>137</v>
      </c>
      <c r="L35" s="12"/>
      <c r="M35" s="12"/>
    </row>
    <row r="36" customFormat="false" ht="15" hidden="false" customHeight="false" outlineLevel="0" collapsed="false">
      <c r="A36" s="11" t="s">
        <v>314</v>
      </c>
      <c r="B36" s="11" t="s">
        <v>279</v>
      </c>
      <c r="C36" s="11" t="s">
        <v>280</v>
      </c>
      <c r="D36" s="11" t="s">
        <v>315</v>
      </c>
      <c r="E36" s="11" t="s">
        <v>291</v>
      </c>
      <c r="F36" s="11" t="s">
        <v>316</v>
      </c>
      <c r="G36" s="11" t="s">
        <v>142</v>
      </c>
      <c r="H36" s="11" t="s">
        <v>317</v>
      </c>
      <c r="I36" s="11" t="s">
        <v>144</v>
      </c>
      <c r="J36" s="11" t="s">
        <v>136</v>
      </c>
      <c r="K36" s="11" t="s">
        <v>137</v>
      </c>
      <c r="L36" s="11"/>
      <c r="M36" s="11"/>
    </row>
    <row r="37" customFormat="false" ht="15" hidden="false" customHeight="false" outlineLevel="0" collapsed="false">
      <c r="A37" s="12" t="s">
        <v>318</v>
      </c>
      <c r="B37" s="12" t="s">
        <v>279</v>
      </c>
      <c r="C37" s="12" t="s">
        <v>280</v>
      </c>
      <c r="D37" s="12" t="s">
        <v>319</v>
      </c>
      <c r="E37" s="12" t="s">
        <v>291</v>
      </c>
      <c r="F37" s="12" t="s">
        <v>320</v>
      </c>
      <c r="G37" s="12" t="s">
        <v>142</v>
      </c>
      <c r="H37" s="12" t="s">
        <v>321</v>
      </c>
      <c r="I37" s="12" t="s">
        <v>135</v>
      </c>
      <c r="J37" s="12" t="s">
        <v>136</v>
      </c>
      <c r="K37" s="12" t="s">
        <v>137</v>
      </c>
      <c r="L37" s="12"/>
      <c r="M37" s="12"/>
    </row>
    <row r="38" customFormat="false" ht="23.85" hidden="false" customHeight="false" outlineLevel="0" collapsed="false">
      <c r="A38" s="11" t="s">
        <v>322</v>
      </c>
      <c r="B38" s="11" t="s">
        <v>279</v>
      </c>
      <c r="C38" s="11" t="s">
        <v>280</v>
      </c>
      <c r="D38" s="11" t="s">
        <v>323</v>
      </c>
      <c r="E38" s="11" t="s">
        <v>324</v>
      </c>
      <c r="F38" s="11" t="s">
        <v>325</v>
      </c>
      <c r="G38" s="11" t="s">
        <v>44</v>
      </c>
      <c r="H38" s="11" t="s">
        <v>326</v>
      </c>
      <c r="I38" s="11" t="s">
        <v>144</v>
      </c>
      <c r="J38" s="11" t="s">
        <v>136</v>
      </c>
      <c r="K38" s="11" t="s">
        <v>137</v>
      </c>
      <c r="L38" s="11"/>
      <c r="M38" s="11"/>
    </row>
    <row r="39" customFormat="false" ht="23.85" hidden="false" customHeight="false" outlineLevel="0" collapsed="false">
      <c r="A39" s="12" t="s">
        <v>327</v>
      </c>
      <c r="B39" s="12" t="s">
        <v>279</v>
      </c>
      <c r="C39" s="12" t="s">
        <v>280</v>
      </c>
      <c r="D39" s="12" t="s">
        <v>328</v>
      </c>
      <c r="E39" s="12" t="s">
        <v>329</v>
      </c>
      <c r="F39" s="12" t="s">
        <v>330</v>
      </c>
      <c r="G39" s="12" t="s">
        <v>142</v>
      </c>
      <c r="H39" s="12" t="s">
        <v>331</v>
      </c>
      <c r="I39" s="12" t="s">
        <v>144</v>
      </c>
      <c r="J39" s="12" t="s">
        <v>173</v>
      </c>
      <c r="K39" s="12" t="s">
        <v>137</v>
      </c>
      <c r="L39" s="12"/>
      <c r="M39" s="12"/>
    </row>
    <row r="40" customFormat="false" ht="23.85" hidden="false" customHeight="false" outlineLevel="0" collapsed="false">
      <c r="A40" s="11" t="s">
        <v>332</v>
      </c>
      <c r="B40" s="11" t="s">
        <v>279</v>
      </c>
      <c r="C40" s="11" t="s">
        <v>280</v>
      </c>
      <c r="D40" s="11" t="s">
        <v>333</v>
      </c>
      <c r="E40" s="11" t="s">
        <v>142</v>
      </c>
      <c r="F40" s="11" t="s">
        <v>334</v>
      </c>
      <c r="G40" s="11" t="s">
        <v>142</v>
      </c>
      <c r="H40" s="11" t="s">
        <v>335</v>
      </c>
      <c r="I40" s="11" t="s">
        <v>172</v>
      </c>
      <c r="J40" s="11" t="s">
        <v>173</v>
      </c>
      <c r="K40" s="11" t="s">
        <v>137</v>
      </c>
      <c r="L40" s="11"/>
      <c r="M40" s="11"/>
    </row>
    <row r="41" customFormat="false" ht="23.85" hidden="false" customHeight="false" outlineLevel="0" collapsed="false">
      <c r="A41" s="12" t="s">
        <v>336</v>
      </c>
      <c r="B41" s="12" t="s">
        <v>337</v>
      </c>
      <c r="C41" s="12" t="s">
        <v>77</v>
      </c>
      <c r="D41" s="12" t="s">
        <v>338</v>
      </c>
      <c r="E41" s="12" t="s">
        <v>250</v>
      </c>
      <c r="F41" s="12" t="s">
        <v>339</v>
      </c>
      <c r="G41" s="12" t="s">
        <v>142</v>
      </c>
      <c r="H41" s="12" t="s">
        <v>340</v>
      </c>
      <c r="I41" s="12" t="s">
        <v>135</v>
      </c>
      <c r="J41" s="12" t="s">
        <v>136</v>
      </c>
      <c r="K41" s="12" t="s">
        <v>137</v>
      </c>
      <c r="L41" s="12"/>
      <c r="M41" s="12"/>
    </row>
    <row r="42" customFormat="false" ht="23.85" hidden="false" customHeight="false" outlineLevel="0" collapsed="false">
      <c r="A42" s="11" t="s">
        <v>341</v>
      </c>
      <c r="B42" s="11" t="s">
        <v>337</v>
      </c>
      <c r="C42" s="11" t="s">
        <v>77</v>
      </c>
      <c r="D42" s="11" t="s">
        <v>342</v>
      </c>
      <c r="E42" s="11" t="s">
        <v>142</v>
      </c>
      <c r="F42" s="11" t="s">
        <v>343</v>
      </c>
      <c r="G42" s="11" t="s">
        <v>344</v>
      </c>
      <c r="H42" s="11" t="s">
        <v>345</v>
      </c>
      <c r="I42" s="11" t="s">
        <v>144</v>
      </c>
      <c r="J42" s="11" t="s">
        <v>173</v>
      </c>
      <c r="K42" s="11" t="s">
        <v>137</v>
      </c>
      <c r="L42" s="11"/>
      <c r="M42" s="11"/>
    </row>
    <row r="43" customFormat="false" ht="15" hidden="false" customHeight="false" outlineLevel="0" collapsed="false">
      <c r="A43" s="12" t="s">
        <v>346</v>
      </c>
      <c r="B43" s="12" t="s">
        <v>337</v>
      </c>
      <c r="C43" s="12" t="s">
        <v>77</v>
      </c>
      <c r="D43" s="12" t="s">
        <v>347</v>
      </c>
      <c r="E43" s="12" t="s">
        <v>348</v>
      </c>
      <c r="F43" s="12" t="s">
        <v>349</v>
      </c>
      <c r="G43" s="12" t="s">
        <v>142</v>
      </c>
      <c r="H43" s="12" t="s">
        <v>350</v>
      </c>
      <c r="I43" s="12" t="s">
        <v>135</v>
      </c>
      <c r="J43" s="12" t="s">
        <v>136</v>
      </c>
      <c r="K43" s="12" t="s">
        <v>137</v>
      </c>
      <c r="L43" s="12"/>
      <c r="M43" s="12"/>
    </row>
    <row r="44" customFormat="false" ht="23.85" hidden="false" customHeight="false" outlineLevel="0" collapsed="false">
      <c r="A44" s="11" t="s">
        <v>351</v>
      </c>
      <c r="B44" s="11" t="s">
        <v>337</v>
      </c>
      <c r="C44" s="11" t="s">
        <v>77</v>
      </c>
      <c r="D44" s="11" t="s">
        <v>352</v>
      </c>
      <c r="E44" s="11" t="s">
        <v>353</v>
      </c>
      <c r="F44" s="11" t="s">
        <v>354</v>
      </c>
      <c r="G44" s="11" t="s">
        <v>355</v>
      </c>
      <c r="H44" s="11" t="s">
        <v>356</v>
      </c>
      <c r="I44" s="11" t="s">
        <v>144</v>
      </c>
      <c r="J44" s="11" t="s">
        <v>136</v>
      </c>
      <c r="K44" s="11" t="s">
        <v>137</v>
      </c>
      <c r="L44" s="11"/>
      <c r="M44" s="11"/>
    </row>
    <row r="45" customFormat="false" ht="15" hidden="false" customHeight="false" outlineLevel="0" collapsed="false">
      <c r="A45" s="12" t="s">
        <v>357</v>
      </c>
      <c r="B45" s="12" t="s">
        <v>337</v>
      </c>
      <c r="C45" s="12" t="s">
        <v>77</v>
      </c>
      <c r="D45" s="12" t="s">
        <v>358</v>
      </c>
      <c r="E45" s="12" t="s">
        <v>359</v>
      </c>
      <c r="F45" s="12" t="s">
        <v>360</v>
      </c>
      <c r="G45" s="12" t="s">
        <v>142</v>
      </c>
      <c r="H45" s="12" t="s">
        <v>361</v>
      </c>
      <c r="I45" s="12" t="s">
        <v>144</v>
      </c>
      <c r="J45" s="12" t="s">
        <v>136</v>
      </c>
      <c r="K45" s="12" t="s">
        <v>137</v>
      </c>
      <c r="L45" s="12"/>
      <c r="M45" s="12"/>
    </row>
    <row r="46" customFormat="false" ht="23.85" hidden="false" customHeight="false" outlineLevel="0" collapsed="false">
      <c r="A46" s="11" t="s">
        <v>362</v>
      </c>
      <c r="B46" s="11" t="s">
        <v>337</v>
      </c>
      <c r="C46" s="11" t="s">
        <v>77</v>
      </c>
      <c r="D46" s="11" t="s">
        <v>80</v>
      </c>
      <c r="E46" s="11" t="s">
        <v>363</v>
      </c>
      <c r="F46" s="11" t="s">
        <v>364</v>
      </c>
      <c r="G46" s="11" t="s">
        <v>142</v>
      </c>
      <c r="H46" s="11" t="s">
        <v>365</v>
      </c>
      <c r="I46" s="11" t="s">
        <v>144</v>
      </c>
      <c r="J46" s="11" t="s">
        <v>136</v>
      </c>
      <c r="K46" s="11" t="s">
        <v>137</v>
      </c>
      <c r="L46" s="11"/>
      <c r="M46" s="11"/>
    </row>
    <row r="47" customFormat="false" ht="23.85" hidden="false" customHeight="false" outlineLevel="0" collapsed="false">
      <c r="A47" s="12" t="s">
        <v>366</v>
      </c>
      <c r="B47" s="12" t="s">
        <v>337</v>
      </c>
      <c r="C47" s="12" t="s">
        <v>77</v>
      </c>
      <c r="D47" s="12" t="s">
        <v>367</v>
      </c>
      <c r="E47" s="12" t="s">
        <v>368</v>
      </c>
      <c r="F47" s="12" t="s">
        <v>369</v>
      </c>
      <c r="G47" s="12" t="s">
        <v>142</v>
      </c>
      <c r="H47" s="12" t="s">
        <v>370</v>
      </c>
      <c r="I47" s="12" t="s">
        <v>144</v>
      </c>
      <c r="J47" s="12" t="s">
        <v>136</v>
      </c>
      <c r="K47" s="12" t="s">
        <v>137</v>
      </c>
      <c r="L47" s="12"/>
      <c r="M47" s="12"/>
    </row>
    <row r="48" customFormat="false" ht="15" hidden="false" customHeight="false" outlineLevel="0" collapsed="false">
      <c r="A48" s="11" t="s">
        <v>371</v>
      </c>
      <c r="B48" s="11" t="s">
        <v>337</v>
      </c>
      <c r="C48" s="11" t="s">
        <v>77</v>
      </c>
      <c r="D48" s="11" t="s">
        <v>372</v>
      </c>
      <c r="E48" s="11" t="s">
        <v>373</v>
      </c>
      <c r="F48" s="11" t="s">
        <v>374</v>
      </c>
      <c r="G48" s="11" t="s">
        <v>142</v>
      </c>
      <c r="H48" s="11" t="s">
        <v>375</v>
      </c>
      <c r="I48" s="11" t="s">
        <v>135</v>
      </c>
      <c r="J48" s="11" t="s">
        <v>136</v>
      </c>
      <c r="K48" s="11" t="s">
        <v>137</v>
      </c>
      <c r="L48" s="11"/>
      <c r="M48" s="11"/>
    </row>
    <row r="49" customFormat="false" ht="23.85" hidden="false" customHeight="false" outlineLevel="0" collapsed="false">
      <c r="A49" s="12" t="s">
        <v>376</v>
      </c>
      <c r="B49" s="12" t="s">
        <v>337</v>
      </c>
      <c r="C49" s="12" t="s">
        <v>77</v>
      </c>
      <c r="D49" s="12" t="s">
        <v>377</v>
      </c>
      <c r="E49" s="12" t="s">
        <v>378</v>
      </c>
      <c r="F49" s="12" t="s">
        <v>379</v>
      </c>
      <c r="G49" s="12" t="s">
        <v>142</v>
      </c>
      <c r="H49" s="12" t="s">
        <v>380</v>
      </c>
      <c r="I49" s="12" t="s">
        <v>144</v>
      </c>
      <c r="J49" s="12" t="s">
        <v>136</v>
      </c>
      <c r="K49" s="12" t="s">
        <v>137</v>
      </c>
      <c r="L49" s="12"/>
      <c r="M49" s="12"/>
    </row>
    <row r="50" customFormat="false" ht="15" hidden="false" customHeight="false" outlineLevel="0" collapsed="false">
      <c r="A50" s="11" t="s">
        <v>381</v>
      </c>
      <c r="B50" s="11" t="s">
        <v>382</v>
      </c>
      <c r="C50" s="11" t="s">
        <v>383</v>
      </c>
      <c r="D50" s="11" t="s">
        <v>384</v>
      </c>
      <c r="E50" s="11" t="s">
        <v>385</v>
      </c>
      <c r="F50" s="11" t="s">
        <v>386</v>
      </c>
      <c r="G50" s="11" t="s">
        <v>387</v>
      </c>
      <c r="H50" s="11" t="s">
        <v>388</v>
      </c>
      <c r="I50" s="11" t="s">
        <v>172</v>
      </c>
      <c r="J50" s="11" t="s">
        <v>136</v>
      </c>
      <c r="K50" s="11" t="s">
        <v>137</v>
      </c>
      <c r="L50" s="11"/>
      <c r="M50" s="11"/>
    </row>
    <row r="51" customFormat="false" ht="15" hidden="false" customHeight="false" outlineLevel="0" collapsed="false">
      <c r="A51" s="12" t="s">
        <v>389</v>
      </c>
      <c r="B51" s="12" t="s">
        <v>382</v>
      </c>
      <c r="C51" s="12" t="s">
        <v>383</v>
      </c>
      <c r="D51" s="12" t="s">
        <v>390</v>
      </c>
      <c r="E51" s="12" t="s">
        <v>391</v>
      </c>
      <c r="F51" s="12" t="s">
        <v>386</v>
      </c>
      <c r="G51" s="12" t="s">
        <v>142</v>
      </c>
      <c r="H51" s="12" t="s">
        <v>392</v>
      </c>
      <c r="I51" s="12" t="s">
        <v>172</v>
      </c>
      <c r="J51" s="12" t="s">
        <v>136</v>
      </c>
      <c r="K51" s="12" t="s">
        <v>137</v>
      </c>
      <c r="L51" s="12"/>
      <c r="M51" s="12"/>
    </row>
    <row r="52" customFormat="false" ht="15" hidden="false" customHeight="false" outlineLevel="0" collapsed="false">
      <c r="A52" s="11" t="s">
        <v>393</v>
      </c>
      <c r="B52" s="11" t="s">
        <v>382</v>
      </c>
      <c r="C52" s="11" t="s">
        <v>383</v>
      </c>
      <c r="D52" s="11" t="s">
        <v>394</v>
      </c>
      <c r="E52" s="11" t="s">
        <v>142</v>
      </c>
      <c r="F52" s="11" t="s">
        <v>395</v>
      </c>
      <c r="G52" s="11" t="s">
        <v>142</v>
      </c>
      <c r="H52" s="11" t="s">
        <v>396</v>
      </c>
      <c r="I52" s="11" t="s">
        <v>144</v>
      </c>
      <c r="J52" s="11" t="s">
        <v>136</v>
      </c>
      <c r="K52" s="11" t="s">
        <v>137</v>
      </c>
      <c r="L52" s="11"/>
      <c r="M52" s="11"/>
    </row>
    <row r="53" customFormat="false" ht="15" hidden="false" customHeight="false" outlineLevel="0" collapsed="false">
      <c r="A53" s="12" t="s">
        <v>397</v>
      </c>
      <c r="B53" s="12" t="s">
        <v>382</v>
      </c>
      <c r="C53" s="12" t="s">
        <v>383</v>
      </c>
      <c r="D53" s="12" t="s">
        <v>398</v>
      </c>
      <c r="E53" s="12" t="s">
        <v>399</v>
      </c>
      <c r="F53" s="12" t="s">
        <v>400</v>
      </c>
      <c r="G53" s="12" t="s">
        <v>142</v>
      </c>
      <c r="H53" s="12" t="s">
        <v>401</v>
      </c>
      <c r="I53" s="12" t="s">
        <v>172</v>
      </c>
      <c r="J53" s="12" t="s">
        <v>136</v>
      </c>
      <c r="K53" s="12" t="s">
        <v>137</v>
      </c>
      <c r="L53" s="12"/>
      <c r="M53" s="12"/>
    </row>
    <row r="54" customFormat="false" ht="15" hidden="false" customHeight="false" outlineLevel="0" collapsed="false">
      <c r="A54" s="11" t="s">
        <v>402</v>
      </c>
      <c r="B54" s="11" t="s">
        <v>382</v>
      </c>
      <c r="C54" s="11" t="s">
        <v>383</v>
      </c>
      <c r="D54" s="11" t="s">
        <v>403</v>
      </c>
      <c r="E54" s="11" t="s">
        <v>399</v>
      </c>
      <c r="F54" s="11" t="s">
        <v>404</v>
      </c>
      <c r="G54" s="11" t="s">
        <v>142</v>
      </c>
      <c r="H54" s="11" t="s">
        <v>405</v>
      </c>
      <c r="I54" s="11" t="s">
        <v>172</v>
      </c>
      <c r="J54" s="11" t="s">
        <v>136</v>
      </c>
      <c r="K54" s="11" t="s">
        <v>137</v>
      </c>
      <c r="L54" s="11"/>
      <c r="M54" s="11"/>
    </row>
    <row r="55" customFormat="false" ht="23.85" hidden="false" customHeight="false" outlineLevel="0" collapsed="false">
      <c r="A55" s="12" t="s">
        <v>406</v>
      </c>
      <c r="B55" s="12" t="s">
        <v>382</v>
      </c>
      <c r="C55" s="12" t="s">
        <v>383</v>
      </c>
      <c r="D55" s="12" t="s">
        <v>407</v>
      </c>
      <c r="E55" s="12" t="s">
        <v>408</v>
      </c>
      <c r="F55" s="12" t="s">
        <v>409</v>
      </c>
      <c r="G55" s="12" t="s">
        <v>142</v>
      </c>
      <c r="H55" s="12" t="s">
        <v>410</v>
      </c>
      <c r="I55" s="12" t="s">
        <v>172</v>
      </c>
      <c r="J55" s="12" t="s">
        <v>173</v>
      </c>
      <c r="K55" s="12" t="s">
        <v>137</v>
      </c>
      <c r="L55" s="12"/>
      <c r="M55" s="12"/>
    </row>
    <row r="56" customFormat="false" ht="23.85" hidden="false" customHeight="false" outlineLevel="0" collapsed="false">
      <c r="A56" s="11" t="s">
        <v>411</v>
      </c>
      <c r="B56" s="11" t="s">
        <v>382</v>
      </c>
      <c r="C56" s="11" t="s">
        <v>383</v>
      </c>
      <c r="D56" s="11" t="s">
        <v>412</v>
      </c>
      <c r="E56" s="11" t="s">
        <v>413</v>
      </c>
      <c r="F56" s="11" t="s">
        <v>414</v>
      </c>
      <c r="G56" s="11" t="s">
        <v>142</v>
      </c>
      <c r="H56" s="11" t="s">
        <v>410</v>
      </c>
      <c r="I56" s="11" t="s">
        <v>172</v>
      </c>
      <c r="J56" s="11" t="s">
        <v>173</v>
      </c>
      <c r="K56" s="11" t="s">
        <v>137</v>
      </c>
      <c r="L56" s="11"/>
      <c r="M56" s="11"/>
    </row>
    <row r="57" customFormat="false" ht="23.85" hidden="false" customHeight="false" outlineLevel="0" collapsed="false">
      <c r="A57" s="12" t="s">
        <v>415</v>
      </c>
      <c r="B57" s="12" t="s">
        <v>382</v>
      </c>
      <c r="C57" s="12" t="s">
        <v>383</v>
      </c>
      <c r="D57" s="12" t="s">
        <v>416</v>
      </c>
      <c r="E57" s="12" t="s">
        <v>417</v>
      </c>
      <c r="F57" s="12" t="s">
        <v>418</v>
      </c>
      <c r="G57" s="12" t="s">
        <v>142</v>
      </c>
      <c r="H57" s="12" t="s">
        <v>419</v>
      </c>
      <c r="I57" s="12" t="s">
        <v>144</v>
      </c>
      <c r="J57" s="12" t="s">
        <v>136</v>
      </c>
      <c r="K57" s="12" t="s">
        <v>137</v>
      </c>
      <c r="L57" s="12"/>
      <c r="M57" s="12"/>
    </row>
    <row r="58" customFormat="false" ht="23.85" hidden="false" customHeight="false" outlineLevel="0" collapsed="false">
      <c r="A58" s="11" t="s">
        <v>420</v>
      </c>
      <c r="B58" s="11" t="s">
        <v>382</v>
      </c>
      <c r="C58" s="11" t="s">
        <v>383</v>
      </c>
      <c r="D58" s="11" t="s">
        <v>421</v>
      </c>
      <c r="E58" s="11" t="s">
        <v>422</v>
      </c>
      <c r="F58" s="11" t="s">
        <v>423</v>
      </c>
      <c r="G58" s="11" t="s">
        <v>142</v>
      </c>
      <c r="H58" s="11" t="s">
        <v>424</v>
      </c>
      <c r="I58" s="11" t="s">
        <v>144</v>
      </c>
      <c r="J58" s="11" t="s">
        <v>136</v>
      </c>
      <c r="K58" s="11" t="s">
        <v>137</v>
      </c>
      <c r="L58" s="11"/>
      <c r="M58" s="11"/>
    </row>
    <row r="59" customFormat="false" ht="23.85" hidden="false" customHeight="false" outlineLevel="0" collapsed="false">
      <c r="A59" s="12" t="s">
        <v>425</v>
      </c>
      <c r="B59" s="12" t="s">
        <v>382</v>
      </c>
      <c r="C59" s="12" t="s">
        <v>383</v>
      </c>
      <c r="D59" s="12" t="s">
        <v>426</v>
      </c>
      <c r="E59" s="12" t="s">
        <v>427</v>
      </c>
      <c r="F59" s="12" t="s">
        <v>428</v>
      </c>
      <c r="G59" s="12" t="s">
        <v>142</v>
      </c>
      <c r="H59" s="12" t="s">
        <v>429</v>
      </c>
      <c r="I59" s="12" t="s">
        <v>144</v>
      </c>
      <c r="J59" s="12" t="s">
        <v>136</v>
      </c>
      <c r="K59" s="12" t="s">
        <v>137</v>
      </c>
      <c r="L59" s="12"/>
      <c r="M59" s="12"/>
    </row>
    <row r="60" customFormat="false" ht="23.85" hidden="false" customHeight="false" outlineLevel="0" collapsed="false">
      <c r="A60" s="11" t="s">
        <v>430</v>
      </c>
      <c r="B60" s="11" t="s">
        <v>382</v>
      </c>
      <c r="C60" s="11" t="s">
        <v>383</v>
      </c>
      <c r="D60" s="11" t="s">
        <v>431</v>
      </c>
      <c r="E60" s="11" t="s">
        <v>399</v>
      </c>
      <c r="F60" s="11" t="s">
        <v>432</v>
      </c>
      <c r="G60" s="11" t="s">
        <v>433</v>
      </c>
      <c r="H60" s="11" t="s">
        <v>434</v>
      </c>
      <c r="I60" s="11" t="s">
        <v>144</v>
      </c>
      <c r="J60" s="11" t="s">
        <v>136</v>
      </c>
      <c r="K60" s="11" t="s">
        <v>137</v>
      </c>
      <c r="L60" s="11"/>
      <c r="M60" s="11"/>
    </row>
    <row r="61" customFormat="false" ht="23.85" hidden="false" customHeight="false" outlineLevel="0" collapsed="false">
      <c r="A61" s="12" t="s">
        <v>435</v>
      </c>
      <c r="B61" s="12" t="s">
        <v>382</v>
      </c>
      <c r="C61" s="12" t="s">
        <v>383</v>
      </c>
      <c r="D61" s="12" t="s">
        <v>436</v>
      </c>
      <c r="E61" s="12" t="s">
        <v>437</v>
      </c>
      <c r="F61" s="12" t="s">
        <v>438</v>
      </c>
      <c r="G61" s="12" t="s">
        <v>142</v>
      </c>
      <c r="H61" s="12" t="s">
        <v>439</v>
      </c>
      <c r="I61" s="12" t="s">
        <v>172</v>
      </c>
      <c r="J61" s="12" t="s">
        <v>136</v>
      </c>
      <c r="K61" s="12" t="s">
        <v>137</v>
      </c>
      <c r="L61" s="12"/>
      <c r="M61" s="12"/>
    </row>
    <row r="62" customFormat="false" ht="15" hidden="false" customHeight="false" outlineLevel="0" collapsed="false">
      <c r="A62" s="11" t="s">
        <v>440</v>
      </c>
      <c r="B62" s="11" t="s">
        <v>441</v>
      </c>
      <c r="C62" s="11" t="s">
        <v>442</v>
      </c>
      <c r="D62" s="11" t="s">
        <v>443</v>
      </c>
      <c r="E62" s="11" t="s">
        <v>444</v>
      </c>
      <c r="F62" s="11" t="s">
        <v>445</v>
      </c>
      <c r="G62" s="11" t="s">
        <v>142</v>
      </c>
      <c r="H62" s="11" t="s">
        <v>446</v>
      </c>
      <c r="I62" s="11" t="s">
        <v>135</v>
      </c>
      <c r="J62" s="11" t="s">
        <v>136</v>
      </c>
      <c r="K62" s="11" t="s">
        <v>137</v>
      </c>
      <c r="L62" s="11"/>
      <c r="M62" s="11"/>
    </row>
    <row r="63" customFormat="false" ht="15" hidden="false" customHeight="false" outlineLevel="0" collapsed="false">
      <c r="A63" s="12" t="s">
        <v>447</v>
      </c>
      <c r="B63" s="12" t="s">
        <v>441</v>
      </c>
      <c r="C63" s="12" t="s">
        <v>442</v>
      </c>
      <c r="D63" s="12" t="s">
        <v>448</v>
      </c>
      <c r="E63" s="12" t="s">
        <v>449</v>
      </c>
      <c r="F63" s="12" t="s">
        <v>450</v>
      </c>
      <c r="G63" s="12" t="s">
        <v>142</v>
      </c>
      <c r="H63" s="12" t="s">
        <v>451</v>
      </c>
      <c r="I63" s="12" t="s">
        <v>135</v>
      </c>
      <c r="J63" s="12" t="s">
        <v>136</v>
      </c>
      <c r="K63" s="12" t="s">
        <v>137</v>
      </c>
      <c r="L63" s="12"/>
      <c r="M63" s="12"/>
    </row>
    <row r="64" customFormat="false" ht="15" hidden="false" customHeight="false" outlineLevel="0" collapsed="false">
      <c r="A64" s="11" t="s">
        <v>452</v>
      </c>
      <c r="B64" s="11" t="s">
        <v>441</v>
      </c>
      <c r="C64" s="11" t="s">
        <v>442</v>
      </c>
      <c r="D64" s="11" t="s">
        <v>453</v>
      </c>
      <c r="E64" s="11" t="s">
        <v>454</v>
      </c>
      <c r="F64" s="11" t="s">
        <v>455</v>
      </c>
      <c r="G64" s="11" t="s">
        <v>142</v>
      </c>
      <c r="H64" s="11" t="s">
        <v>456</v>
      </c>
      <c r="I64" s="11" t="s">
        <v>135</v>
      </c>
      <c r="J64" s="11" t="s">
        <v>136</v>
      </c>
      <c r="K64" s="11" t="s">
        <v>137</v>
      </c>
      <c r="L64" s="11"/>
      <c r="M64" s="11"/>
    </row>
    <row r="65" customFormat="false" ht="15" hidden="false" customHeight="false" outlineLevel="0" collapsed="false">
      <c r="A65" s="12" t="s">
        <v>457</v>
      </c>
      <c r="B65" s="12" t="s">
        <v>441</v>
      </c>
      <c r="C65" s="12" t="s">
        <v>442</v>
      </c>
      <c r="D65" s="12" t="s">
        <v>458</v>
      </c>
      <c r="E65" s="12" t="s">
        <v>459</v>
      </c>
      <c r="F65" s="12" t="s">
        <v>460</v>
      </c>
      <c r="G65" s="12" t="s">
        <v>142</v>
      </c>
      <c r="H65" s="12" t="s">
        <v>461</v>
      </c>
      <c r="I65" s="12" t="s">
        <v>144</v>
      </c>
      <c r="J65" s="12" t="s">
        <v>136</v>
      </c>
      <c r="K65" s="12" t="s">
        <v>137</v>
      </c>
      <c r="L65" s="12"/>
      <c r="M65" s="12"/>
    </row>
    <row r="66" customFormat="false" ht="23.85" hidden="false" customHeight="false" outlineLevel="0" collapsed="false">
      <c r="A66" s="11" t="s">
        <v>462</v>
      </c>
      <c r="B66" s="11" t="s">
        <v>441</v>
      </c>
      <c r="C66" s="11" t="s">
        <v>442</v>
      </c>
      <c r="D66" s="11" t="s">
        <v>463</v>
      </c>
      <c r="E66" s="11" t="s">
        <v>101</v>
      </c>
      <c r="F66" s="11" t="s">
        <v>464</v>
      </c>
      <c r="G66" s="11" t="s">
        <v>142</v>
      </c>
      <c r="H66" s="11" t="s">
        <v>465</v>
      </c>
      <c r="I66" s="11" t="s">
        <v>144</v>
      </c>
      <c r="J66" s="11" t="s">
        <v>136</v>
      </c>
      <c r="K66" s="11" t="s">
        <v>137</v>
      </c>
      <c r="L66" s="11"/>
      <c r="M66" s="11"/>
    </row>
    <row r="67" customFormat="false" ht="15" hidden="false" customHeight="false" outlineLevel="0" collapsed="false">
      <c r="A67" s="12" t="s">
        <v>466</v>
      </c>
      <c r="B67" s="12" t="s">
        <v>441</v>
      </c>
      <c r="C67" s="12" t="s">
        <v>442</v>
      </c>
      <c r="D67" s="12" t="s">
        <v>467</v>
      </c>
      <c r="E67" s="12" t="s">
        <v>468</v>
      </c>
      <c r="F67" s="12" t="s">
        <v>469</v>
      </c>
      <c r="G67" s="12" t="s">
        <v>142</v>
      </c>
      <c r="H67" s="12" t="s">
        <v>470</v>
      </c>
      <c r="I67" s="12" t="s">
        <v>144</v>
      </c>
      <c r="J67" s="12" t="s">
        <v>136</v>
      </c>
      <c r="K67" s="12" t="s">
        <v>137</v>
      </c>
      <c r="L67" s="12"/>
      <c r="M67" s="12"/>
    </row>
    <row r="68" customFormat="false" ht="15" hidden="false" customHeight="false" outlineLevel="0" collapsed="false">
      <c r="A68" s="11" t="s">
        <v>471</v>
      </c>
      <c r="B68" s="11" t="s">
        <v>441</v>
      </c>
      <c r="C68" s="11" t="s">
        <v>442</v>
      </c>
      <c r="D68" s="11" t="s">
        <v>472</v>
      </c>
      <c r="E68" s="11" t="s">
        <v>473</v>
      </c>
      <c r="F68" s="11" t="s">
        <v>474</v>
      </c>
      <c r="G68" s="11" t="s">
        <v>142</v>
      </c>
      <c r="H68" s="11" t="s">
        <v>475</v>
      </c>
      <c r="I68" s="11" t="s">
        <v>144</v>
      </c>
      <c r="J68" s="11" t="s">
        <v>136</v>
      </c>
      <c r="K68" s="11" t="s">
        <v>137</v>
      </c>
      <c r="L68" s="11"/>
      <c r="M68" s="11"/>
    </row>
    <row r="69" customFormat="false" ht="23.85" hidden="false" customHeight="false" outlineLevel="0" collapsed="false">
      <c r="A69" s="12" t="s">
        <v>476</v>
      </c>
      <c r="B69" s="12" t="s">
        <v>441</v>
      </c>
      <c r="C69" s="12" t="s">
        <v>442</v>
      </c>
      <c r="D69" s="12" t="s">
        <v>477</v>
      </c>
      <c r="E69" s="12" t="s">
        <v>459</v>
      </c>
      <c r="F69" s="12" t="s">
        <v>478</v>
      </c>
      <c r="G69" s="12" t="s">
        <v>142</v>
      </c>
      <c r="H69" s="12" t="s">
        <v>479</v>
      </c>
      <c r="I69" s="12" t="s">
        <v>135</v>
      </c>
      <c r="J69" s="12" t="s">
        <v>136</v>
      </c>
      <c r="K69" s="12" t="s">
        <v>137</v>
      </c>
      <c r="L69" s="12"/>
      <c r="M69" s="12"/>
    </row>
    <row r="70" customFormat="false" ht="23.85" hidden="false" customHeight="false" outlineLevel="0" collapsed="false">
      <c r="A70" s="11" t="s">
        <v>480</v>
      </c>
      <c r="B70" s="11" t="s">
        <v>441</v>
      </c>
      <c r="C70" s="11" t="s">
        <v>442</v>
      </c>
      <c r="D70" s="11" t="s">
        <v>481</v>
      </c>
      <c r="E70" s="11" t="s">
        <v>399</v>
      </c>
      <c r="F70" s="11" t="s">
        <v>482</v>
      </c>
      <c r="G70" s="11" t="s">
        <v>142</v>
      </c>
      <c r="H70" s="11" t="s">
        <v>483</v>
      </c>
      <c r="I70" s="11" t="s">
        <v>172</v>
      </c>
      <c r="J70" s="11" t="s">
        <v>136</v>
      </c>
      <c r="K70" s="11" t="s">
        <v>137</v>
      </c>
      <c r="L70" s="11"/>
      <c r="M70" s="11"/>
    </row>
    <row r="71" customFormat="false" ht="23.85" hidden="false" customHeight="false" outlineLevel="0" collapsed="false">
      <c r="A71" s="12" t="s">
        <v>484</v>
      </c>
      <c r="B71" s="12" t="s">
        <v>441</v>
      </c>
      <c r="C71" s="12" t="s">
        <v>442</v>
      </c>
      <c r="D71" s="12" t="s">
        <v>485</v>
      </c>
      <c r="E71" s="12" t="s">
        <v>486</v>
      </c>
      <c r="F71" s="12" t="s">
        <v>478</v>
      </c>
      <c r="G71" s="12" t="s">
        <v>142</v>
      </c>
      <c r="H71" s="12" t="s">
        <v>487</v>
      </c>
      <c r="I71" s="12" t="s">
        <v>144</v>
      </c>
      <c r="J71" s="12" t="s">
        <v>136</v>
      </c>
      <c r="K71" s="12" t="s">
        <v>137</v>
      </c>
      <c r="L71" s="12"/>
      <c r="M71" s="12"/>
    </row>
    <row r="72" customFormat="false" ht="15" hidden="false" customHeight="false" outlineLevel="0" collapsed="false">
      <c r="A72" s="11" t="s">
        <v>488</v>
      </c>
      <c r="B72" s="11" t="s">
        <v>441</v>
      </c>
      <c r="C72" s="11" t="s">
        <v>442</v>
      </c>
      <c r="D72" s="11" t="s">
        <v>489</v>
      </c>
      <c r="E72" s="11" t="s">
        <v>459</v>
      </c>
      <c r="F72" s="11" t="s">
        <v>490</v>
      </c>
      <c r="G72" s="11" t="s">
        <v>142</v>
      </c>
      <c r="H72" s="11" t="s">
        <v>491</v>
      </c>
      <c r="I72" s="11" t="s">
        <v>144</v>
      </c>
      <c r="J72" s="11" t="s">
        <v>136</v>
      </c>
      <c r="K72" s="11" t="s">
        <v>137</v>
      </c>
      <c r="L72" s="11"/>
      <c r="M72" s="11"/>
    </row>
    <row r="73" customFormat="false" ht="23.85" hidden="false" customHeight="false" outlineLevel="0" collapsed="false">
      <c r="A73" s="12" t="s">
        <v>492</v>
      </c>
      <c r="B73" s="12" t="s">
        <v>493</v>
      </c>
      <c r="C73" s="12" t="s">
        <v>494</v>
      </c>
      <c r="D73" s="12" t="s">
        <v>495</v>
      </c>
      <c r="E73" s="12" t="s">
        <v>417</v>
      </c>
      <c r="F73" s="12" t="s">
        <v>496</v>
      </c>
      <c r="G73" s="12" t="s">
        <v>142</v>
      </c>
      <c r="H73" s="12" t="s">
        <v>497</v>
      </c>
      <c r="I73" s="12" t="s">
        <v>144</v>
      </c>
      <c r="J73" s="12" t="s">
        <v>136</v>
      </c>
      <c r="K73" s="12" t="s">
        <v>137</v>
      </c>
      <c r="L73" s="12"/>
      <c r="M73" s="12"/>
    </row>
    <row r="74" customFormat="false" ht="15" hidden="false" customHeight="false" outlineLevel="0" collapsed="false">
      <c r="A74" s="11" t="s">
        <v>498</v>
      </c>
      <c r="B74" s="11" t="s">
        <v>493</v>
      </c>
      <c r="C74" s="11" t="s">
        <v>494</v>
      </c>
      <c r="D74" s="11" t="s">
        <v>499</v>
      </c>
      <c r="E74" s="11" t="s">
        <v>417</v>
      </c>
      <c r="F74" s="11" t="s">
        <v>500</v>
      </c>
      <c r="G74" s="11" t="s">
        <v>142</v>
      </c>
      <c r="H74" s="11" t="s">
        <v>501</v>
      </c>
      <c r="I74" s="11" t="s">
        <v>144</v>
      </c>
      <c r="J74" s="11" t="s">
        <v>136</v>
      </c>
      <c r="K74" s="11" t="s">
        <v>137</v>
      </c>
      <c r="L74" s="11"/>
      <c r="M74" s="11"/>
    </row>
    <row r="75" customFormat="false" ht="15" hidden="false" customHeight="false" outlineLevel="0" collapsed="false">
      <c r="A75" s="12" t="s">
        <v>502</v>
      </c>
      <c r="B75" s="12" t="s">
        <v>493</v>
      </c>
      <c r="C75" s="12" t="s">
        <v>494</v>
      </c>
      <c r="D75" s="12" t="s">
        <v>503</v>
      </c>
      <c r="E75" s="12" t="s">
        <v>399</v>
      </c>
      <c r="F75" s="12" t="s">
        <v>504</v>
      </c>
      <c r="G75" s="12" t="s">
        <v>142</v>
      </c>
      <c r="H75" s="12" t="s">
        <v>505</v>
      </c>
      <c r="I75" s="12" t="s">
        <v>135</v>
      </c>
      <c r="J75" s="12" t="s">
        <v>136</v>
      </c>
      <c r="K75" s="12" t="s">
        <v>137</v>
      </c>
      <c r="L75" s="12"/>
      <c r="M75" s="12"/>
    </row>
    <row r="76" customFormat="false" ht="15" hidden="false" customHeight="false" outlineLevel="0" collapsed="false">
      <c r="A76" s="11" t="s">
        <v>506</v>
      </c>
      <c r="B76" s="11" t="s">
        <v>493</v>
      </c>
      <c r="C76" s="11" t="s">
        <v>494</v>
      </c>
      <c r="D76" s="11" t="s">
        <v>507</v>
      </c>
      <c r="E76" s="11" t="s">
        <v>399</v>
      </c>
      <c r="F76" s="11" t="s">
        <v>508</v>
      </c>
      <c r="G76" s="11" t="s">
        <v>142</v>
      </c>
      <c r="H76" s="11" t="s">
        <v>509</v>
      </c>
      <c r="I76" s="11" t="s">
        <v>144</v>
      </c>
      <c r="J76" s="11" t="s">
        <v>136</v>
      </c>
      <c r="K76" s="11" t="s">
        <v>137</v>
      </c>
      <c r="L76" s="11"/>
      <c r="M76" s="11"/>
    </row>
    <row r="77" customFormat="false" ht="23.85" hidden="false" customHeight="false" outlineLevel="0" collapsed="false">
      <c r="A77" s="12" t="s">
        <v>510</v>
      </c>
      <c r="B77" s="12" t="s">
        <v>493</v>
      </c>
      <c r="C77" s="12" t="s">
        <v>494</v>
      </c>
      <c r="D77" s="12" t="s">
        <v>511</v>
      </c>
      <c r="E77" s="12" t="s">
        <v>417</v>
      </c>
      <c r="F77" s="12" t="s">
        <v>512</v>
      </c>
      <c r="G77" s="12" t="s">
        <v>513</v>
      </c>
      <c r="H77" s="12" t="s">
        <v>514</v>
      </c>
      <c r="I77" s="12" t="s">
        <v>135</v>
      </c>
      <c r="J77" s="12" t="s">
        <v>136</v>
      </c>
      <c r="K77" s="12" t="s">
        <v>137</v>
      </c>
      <c r="L77" s="12"/>
      <c r="M77" s="12"/>
    </row>
    <row r="78" customFormat="false" ht="23.85" hidden="false" customHeight="false" outlineLevel="0" collapsed="false">
      <c r="A78" s="11" t="s">
        <v>515</v>
      </c>
      <c r="B78" s="11" t="s">
        <v>493</v>
      </c>
      <c r="C78" s="11" t="s">
        <v>494</v>
      </c>
      <c r="D78" s="11" t="s">
        <v>516</v>
      </c>
      <c r="E78" s="11" t="s">
        <v>517</v>
      </c>
      <c r="F78" s="11" t="s">
        <v>518</v>
      </c>
      <c r="G78" s="11" t="s">
        <v>142</v>
      </c>
      <c r="H78" s="11" t="s">
        <v>519</v>
      </c>
      <c r="I78" s="11" t="s">
        <v>144</v>
      </c>
      <c r="J78" s="11" t="s">
        <v>136</v>
      </c>
      <c r="K78" s="11" t="s">
        <v>137</v>
      </c>
      <c r="L78" s="11"/>
      <c r="M78" s="11"/>
    </row>
    <row r="79" customFormat="false" ht="15" hidden="false" customHeight="false" outlineLevel="0" collapsed="false">
      <c r="A79" s="12" t="s">
        <v>520</v>
      </c>
      <c r="B79" s="12" t="s">
        <v>493</v>
      </c>
      <c r="C79" s="12" t="s">
        <v>494</v>
      </c>
      <c r="D79" s="12" t="s">
        <v>521</v>
      </c>
      <c r="E79" s="12" t="s">
        <v>522</v>
      </c>
      <c r="F79" s="12" t="s">
        <v>523</v>
      </c>
      <c r="G79" s="12" t="s">
        <v>142</v>
      </c>
      <c r="H79" s="12" t="s">
        <v>524</v>
      </c>
      <c r="I79" s="12" t="s">
        <v>144</v>
      </c>
      <c r="J79" s="12" t="s">
        <v>136</v>
      </c>
      <c r="K79" s="12" t="s">
        <v>137</v>
      </c>
      <c r="L79" s="12"/>
      <c r="M79" s="12"/>
    </row>
    <row r="80" customFormat="false" ht="23.85" hidden="false" customHeight="false" outlineLevel="0" collapsed="false">
      <c r="A80" s="11" t="s">
        <v>525</v>
      </c>
      <c r="B80" s="11" t="s">
        <v>526</v>
      </c>
      <c r="C80" s="11" t="s">
        <v>109</v>
      </c>
      <c r="D80" s="11" t="s">
        <v>527</v>
      </c>
      <c r="E80" s="11" t="s">
        <v>417</v>
      </c>
      <c r="F80" s="11" t="s">
        <v>528</v>
      </c>
      <c r="G80" s="11" t="s">
        <v>142</v>
      </c>
      <c r="H80" s="11" t="s">
        <v>529</v>
      </c>
      <c r="I80" s="11" t="s">
        <v>144</v>
      </c>
      <c r="J80" s="11" t="s">
        <v>136</v>
      </c>
      <c r="K80" s="11" t="s">
        <v>137</v>
      </c>
      <c r="L80" s="11"/>
      <c r="M80" s="11"/>
    </row>
    <row r="81" customFormat="false" ht="15" hidden="false" customHeight="false" outlineLevel="0" collapsed="false">
      <c r="A81" s="12" t="s">
        <v>530</v>
      </c>
      <c r="B81" s="12" t="s">
        <v>526</v>
      </c>
      <c r="C81" s="12" t="s">
        <v>109</v>
      </c>
      <c r="D81" s="12" t="s">
        <v>531</v>
      </c>
      <c r="E81" s="12" t="s">
        <v>417</v>
      </c>
      <c r="F81" s="12" t="s">
        <v>532</v>
      </c>
      <c r="G81" s="12" t="s">
        <v>533</v>
      </c>
      <c r="H81" s="12" t="s">
        <v>534</v>
      </c>
      <c r="I81" s="12" t="s">
        <v>144</v>
      </c>
      <c r="J81" s="12" t="s">
        <v>136</v>
      </c>
      <c r="K81" s="12" t="s">
        <v>137</v>
      </c>
      <c r="L81" s="12"/>
      <c r="M81" s="12"/>
    </row>
    <row r="82" customFormat="false" ht="23.85" hidden="false" customHeight="false" outlineLevel="0" collapsed="false">
      <c r="A82" s="11" t="s">
        <v>535</v>
      </c>
      <c r="B82" s="11" t="s">
        <v>526</v>
      </c>
      <c r="C82" s="11" t="s">
        <v>109</v>
      </c>
      <c r="D82" s="11" t="s">
        <v>536</v>
      </c>
      <c r="E82" s="11" t="s">
        <v>537</v>
      </c>
      <c r="F82" s="11" t="s">
        <v>538</v>
      </c>
      <c r="G82" s="11" t="s">
        <v>142</v>
      </c>
      <c r="H82" s="11" t="s">
        <v>539</v>
      </c>
      <c r="I82" s="11" t="s">
        <v>144</v>
      </c>
      <c r="J82" s="11" t="s">
        <v>136</v>
      </c>
      <c r="K82" s="11" t="s">
        <v>137</v>
      </c>
      <c r="L82" s="11"/>
      <c r="M82" s="11"/>
    </row>
    <row r="83" customFormat="false" ht="23.85" hidden="false" customHeight="false" outlineLevel="0" collapsed="false">
      <c r="A83" s="12" t="s">
        <v>540</v>
      </c>
      <c r="B83" s="12" t="s">
        <v>526</v>
      </c>
      <c r="C83" s="12" t="s">
        <v>109</v>
      </c>
      <c r="D83" s="12" t="s">
        <v>541</v>
      </c>
      <c r="E83" s="12" t="s">
        <v>542</v>
      </c>
      <c r="F83" s="12" t="s">
        <v>543</v>
      </c>
      <c r="G83" s="12" t="s">
        <v>142</v>
      </c>
      <c r="H83" s="12" t="s">
        <v>544</v>
      </c>
      <c r="I83" s="12" t="s">
        <v>144</v>
      </c>
      <c r="J83" s="12" t="s">
        <v>136</v>
      </c>
      <c r="K83" s="12" t="s">
        <v>137</v>
      </c>
      <c r="L83" s="12"/>
      <c r="M83" s="12"/>
    </row>
    <row r="84" customFormat="false" ht="15" hidden="false" customHeight="false" outlineLevel="0" collapsed="false">
      <c r="A84" s="11" t="s">
        <v>545</v>
      </c>
      <c r="B84" s="11" t="s">
        <v>526</v>
      </c>
      <c r="C84" s="11" t="s">
        <v>109</v>
      </c>
      <c r="D84" s="11" t="s">
        <v>546</v>
      </c>
      <c r="E84" s="11" t="s">
        <v>110</v>
      </c>
      <c r="F84" s="11" t="s">
        <v>538</v>
      </c>
      <c r="G84" s="11" t="s">
        <v>142</v>
      </c>
      <c r="H84" s="11" t="s">
        <v>547</v>
      </c>
      <c r="I84" s="11" t="s">
        <v>135</v>
      </c>
      <c r="J84" s="11" t="s">
        <v>273</v>
      </c>
      <c r="K84" s="11" t="s">
        <v>137</v>
      </c>
      <c r="L84" s="11"/>
      <c r="M84" s="11"/>
    </row>
    <row r="85" customFormat="false" ht="23.85" hidden="false" customHeight="false" outlineLevel="0" collapsed="false">
      <c r="A85" s="12" t="s">
        <v>548</v>
      </c>
      <c r="B85" s="12" t="s">
        <v>526</v>
      </c>
      <c r="C85" s="12" t="s">
        <v>109</v>
      </c>
      <c r="D85" s="12" t="s">
        <v>549</v>
      </c>
      <c r="E85" s="12" t="s">
        <v>112</v>
      </c>
      <c r="F85" s="12" t="s">
        <v>550</v>
      </c>
      <c r="G85" s="12" t="s">
        <v>142</v>
      </c>
      <c r="H85" s="12" t="s">
        <v>551</v>
      </c>
      <c r="I85" s="12" t="s">
        <v>172</v>
      </c>
      <c r="J85" s="12" t="s">
        <v>173</v>
      </c>
      <c r="K85" s="12" t="s">
        <v>137</v>
      </c>
      <c r="L85" s="12"/>
      <c r="M85" s="12"/>
    </row>
    <row r="86" customFormat="false" ht="23.85" hidden="false" customHeight="false" outlineLevel="0" collapsed="false">
      <c r="A86" s="11" t="s">
        <v>552</v>
      </c>
      <c r="B86" s="11" t="s">
        <v>526</v>
      </c>
      <c r="C86" s="11" t="s">
        <v>109</v>
      </c>
      <c r="D86" s="11" t="s">
        <v>553</v>
      </c>
      <c r="E86" s="11" t="s">
        <v>554</v>
      </c>
      <c r="F86" s="11" t="s">
        <v>555</v>
      </c>
      <c r="G86" s="11" t="s">
        <v>142</v>
      </c>
      <c r="H86" s="11" t="s">
        <v>556</v>
      </c>
      <c r="I86" s="11" t="s">
        <v>135</v>
      </c>
      <c r="J86" s="11" t="s">
        <v>136</v>
      </c>
      <c r="K86" s="11" t="s">
        <v>137</v>
      </c>
      <c r="L86" s="11"/>
      <c r="M86" s="11"/>
    </row>
    <row r="87" customFormat="false" ht="15" hidden="false" customHeight="false" outlineLevel="0" collapsed="false">
      <c r="A87" s="12" t="s">
        <v>557</v>
      </c>
      <c r="B87" s="12" t="s">
        <v>526</v>
      </c>
      <c r="C87" s="12" t="s">
        <v>109</v>
      </c>
      <c r="D87" s="12" t="s">
        <v>558</v>
      </c>
      <c r="E87" s="12" t="s">
        <v>559</v>
      </c>
      <c r="F87" s="12" t="s">
        <v>560</v>
      </c>
      <c r="G87" s="12" t="s">
        <v>142</v>
      </c>
      <c r="H87" s="12" t="s">
        <v>561</v>
      </c>
      <c r="I87" s="12" t="s">
        <v>144</v>
      </c>
      <c r="J87" s="12" t="s">
        <v>136</v>
      </c>
      <c r="K87" s="12" t="s">
        <v>137</v>
      </c>
      <c r="L87" s="12"/>
      <c r="M87" s="12"/>
    </row>
    <row r="88" customFormat="false" ht="15" hidden="false" customHeight="false" outlineLevel="0" collapsed="false">
      <c r="A88" s="11" t="s">
        <v>562</v>
      </c>
      <c r="B88" s="11" t="s">
        <v>563</v>
      </c>
      <c r="C88" s="11" t="s">
        <v>564</v>
      </c>
      <c r="D88" s="11" t="s">
        <v>565</v>
      </c>
      <c r="E88" s="11" t="s">
        <v>103</v>
      </c>
      <c r="F88" s="11" t="s">
        <v>566</v>
      </c>
      <c r="G88" s="11" t="s">
        <v>142</v>
      </c>
      <c r="H88" s="11" t="s">
        <v>567</v>
      </c>
      <c r="I88" s="11" t="s">
        <v>144</v>
      </c>
      <c r="J88" s="11" t="s">
        <v>136</v>
      </c>
      <c r="K88" s="11" t="s">
        <v>137</v>
      </c>
      <c r="L88" s="11"/>
      <c r="M88" s="11"/>
    </row>
    <row r="89" customFormat="false" ht="15" hidden="false" customHeight="false" outlineLevel="0" collapsed="false">
      <c r="A89" s="12" t="s">
        <v>568</v>
      </c>
      <c r="B89" s="12" t="s">
        <v>563</v>
      </c>
      <c r="C89" s="12" t="s">
        <v>564</v>
      </c>
      <c r="D89" s="12" t="s">
        <v>569</v>
      </c>
      <c r="E89" s="12" t="s">
        <v>570</v>
      </c>
      <c r="F89" s="12" t="s">
        <v>571</v>
      </c>
      <c r="G89" s="12" t="s">
        <v>142</v>
      </c>
      <c r="H89" s="12" t="s">
        <v>475</v>
      </c>
      <c r="I89" s="12" t="s">
        <v>144</v>
      </c>
      <c r="J89" s="12" t="s">
        <v>136</v>
      </c>
      <c r="K89" s="12" t="s">
        <v>137</v>
      </c>
      <c r="L89" s="12"/>
      <c r="M89" s="12"/>
    </row>
    <row r="90" customFormat="false" ht="15" hidden="false" customHeight="false" outlineLevel="0" collapsed="false">
      <c r="A90" s="11" t="s">
        <v>572</v>
      </c>
      <c r="B90" s="11" t="s">
        <v>563</v>
      </c>
      <c r="C90" s="11" t="s">
        <v>564</v>
      </c>
      <c r="D90" s="11" t="s">
        <v>573</v>
      </c>
      <c r="E90" s="11" t="s">
        <v>142</v>
      </c>
      <c r="F90" s="11" t="s">
        <v>574</v>
      </c>
      <c r="G90" s="11" t="s">
        <v>142</v>
      </c>
      <c r="H90" s="11" t="s">
        <v>475</v>
      </c>
      <c r="I90" s="11" t="s">
        <v>144</v>
      </c>
      <c r="J90" s="11" t="s">
        <v>136</v>
      </c>
      <c r="K90" s="11" t="s">
        <v>137</v>
      </c>
      <c r="L90" s="11"/>
      <c r="M90" s="11"/>
    </row>
    <row r="91" customFormat="false" ht="15" hidden="false" customHeight="false" outlineLevel="0" collapsed="false">
      <c r="A91" s="12" t="s">
        <v>575</v>
      </c>
      <c r="B91" s="12" t="s">
        <v>563</v>
      </c>
      <c r="C91" s="12" t="s">
        <v>564</v>
      </c>
      <c r="D91" s="12" t="s">
        <v>576</v>
      </c>
      <c r="E91" s="12" t="s">
        <v>577</v>
      </c>
      <c r="F91" s="12" t="s">
        <v>578</v>
      </c>
      <c r="G91" s="12" t="s">
        <v>142</v>
      </c>
      <c r="H91" s="12" t="s">
        <v>579</v>
      </c>
      <c r="I91" s="12" t="s">
        <v>135</v>
      </c>
      <c r="J91" s="12" t="s">
        <v>136</v>
      </c>
      <c r="K91" s="12" t="s">
        <v>137</v>
      </c>
      <c r="L91" s="12"/>
      <c r="M91" s="12"/>
    </row>
    <row r="92" customFormat="false" ht="15" hidden="false" customHeight="false" outlineLevel="0" collapsed="false">
      <c r="A92" s="11" t="s">
        <v>580</v>
      </c>
      <c r="B92" s="11" t="s">
        <v>563</v>
      </c>
      <c r="C92" s="11" t="s">
        <v>564</v>
      </c>
      <c r="D92" s="11" t="s">
        <v>581</v>
      </c>
      <c r="E92" s="11" t="s">
        <v>582</v>
      </c>
      <c r="F92" s="11" t="s">
        <v>583</v>
      </c>
      <c r="G92" s="11" t="s">
        <v>142</v>
      </c>
      <c r="H92" s="11" t="s">
        <v>584</v>
      </c>
      <c r="I92" s="11" t="s">
        <v>135</v>
      </c>
      <c r="J92" s="11" t="s">
        <v>136</v>
      </c>
      <c r="K92" s="11" t="s">
        <v>137</v>
      </c>
      <c r="L92" s="11"/>
      <c r="M92" s="11"/>
    </row>
    <row r="93" customFormat="false" ht="23.85" hidden="false" customHeight="false" outlineLevel="0" collapsed="false">
      <c r="A93" s="12" t="s">
        <v>585</v>
      </c>
      <c r="B93" s="12" t="s">
        <v>563</v>
      </c>
      <c r="C93" s="12" t="s">
        <v>564</v>
      </c>
      <c r="D93" s="12" t="s">
        <v>586</v>
      </c>
      <c r="E93" s="12" t="s">
        <v>587</v>
      </c>
      <c r="F93" s="12" t="s">
        <v>588</v>
      </c>
      <c r="G93" s="12" t="s">
        <v>142</v>
      </c>
      <c r="H93" s="12" t="s">
        <v>589</v>
      </c>
      <c r="I93" s="12" t="s">
        <v>135</v>
      </c>
      <c r="J93" s="12" t="s">
        <v>136</v>
      </c>
      <c r="K93" s="12" t="s">
        <v>137</v>
      </c>
      <c r="L93" s="12"/>
      <c r="M93" s="12"/>
    </row>
    <row r="94" customFormat="false" ht="15" hidden="false" customHeight="false" outlineLevel="0" collapsed="false">
      <c r="A94" s="11" t="s">
        <v>590</v>
      </c>
      <c r="B94" s="11" t="s">
        <v>563</v>
      </c>
      <c r="C94" s="11" t="s">
        <v>564</v>
      </c>
      <c r="D94" s="11" t="s">
        <v>591</v>
      </c>
      <c r="E94" s="11" t="s">
        <v>592</v>
      </c>
      <c r="F94" s="11" t="s">
        <v>593</v>
      </c>
      <c r="G94" s="11" t="s">
        <v>142</v>
      </c>
      <c r="H94" s="11" t="s">
        <v>594</v>
      </c>
      <c r="I94" s="11" t="s">
        <v>135</v>
      </c>
      <c r="J94" s="11" t="s">
        <v>136</v>
      </c>
      <c r="K94" s="11" t="s">
        <v>137</v>
      </c>
      <c r="L94" s="11"/>
      <c r="M94" s="11"/>
    </row>
    <row r="95" customFormat="false" ht="15" hidden="false" customHeight="false" outlineLevel="0" collapsed="false">
      <c r="A95" s="12" t="s">
        <v>595</v>
      </c>
      <c r="B95" s="12" t="s">
        <v>563</v>
      </c>
      <c r="C95" s="12" t="s">
        <v>564</v>
      </c>
      <c r="D95" s="12" t="s">
        <v>596</v>
      </c>
      <c r="E95" s="12" t="s">
        <v>597</v>
      </c>
      <c r="F95" s="12" t="s">
        <v>598</v>
      </c>
      <c r="G95" s="12" t="s">
        <v>599</v>
      </c>
      <c r="H95" s="12" t="s">
        <v>600</v>
      </c>
      <c r="I95" s="12" t="s">
        <v>135</v>
      </c>
      <c r="J95" s="12" t="s">
        <v>136</v>
      </c>
      <c r="K95" s="12" t="s">
        <v>137</v>
      </c>
      <c r="L95" s="12"/>
      <c r="M95" s="12"/>
    </row>
    <row r="96" customFormat="false" ht="23.85" hidden="false" customHeight="false" outlineLevel="0" collapsed="false">
      <c r="A96" s="11" t="s">
        <v>601</v>
      </c>
      <c r="B96" s="11" t="s">
        <v>563</v>
      </c>
      <c r="C96" s="11" t="s">
        <v>564</v>
      </c>
      <c r="D96" s="11" t="s">
        <v>602</v>
      </c>
      <c r="E96" s="11" t="s">
        <v>603</v>
      </c>
      <c r="F96" s="11" t="s">
        <v>604</v>
      </c>
      <c r="G96" s="11" t="s">
        <v>142</v>
      </c>
      <c r="H96" s="11" t="s">
        <v>605</v>
      </c>
      <c r="I96" s="11" t="s">
        <v>144</v>
      </c>
      <c r="J96" s="11" t="s">
        <v>136</v>
      </c>
      <c r="K96" s="11" t="s">
        <v>137</v>
      </c>
      <c r="L96" s="11"/>
      <c r="M96" s="11"/>
    </row>
    <row r="97" customFormat="false" ht="15" hidden="false" customHeight="false" outlineLevel="0" collapsed="false">
      <c r="A97" s="12" t="s">
        <v>606</v>
      </c>
      <c r="B97" s="12" t="s">
        <v>563</v>
      </c>
      <c r="C97" s="12" t="s">
        <v>564</v>
      </c>
      <c r="D97" s="12" t="s">
        <v>607</v>
      </c>
      <c r="E97" s="12" t="s">
        <v>603</v>
      </c>
      <c r="F97" s="12" t="s">
        <v>608</v>
      </c>
      <c r="G97" s="12" t="s">
        <v>142</v>
      </c>
      <c r="H97" s="12" t="s">
        <v>609</v>
      </c>
      <c r="I97" s="12" t="s">
        <v>172</v>
      </c>
      <c r="J97" s="12" t="s">
        <v>173</v>
      </c>
      <c r="K97" s="12" t="s">
        <v>137</v>
      </c>
      <c r="L97" s="12"/>
      <c r="M97" s="12"/>
    </row>
    <row r="98" customFormat="false" ht="15" hidden="false" customHeight="false" outlineLevel="0" collapsed="false">
      <c r="A98" s="11" t="s">
        <v>610</v>
      </c>
      <c r="B98" s="11" t="s">
        <v>563</v>
      </c>
      <c r="C98" s="11" t="s">
        <v>564</v>
      </c>
      <c r="D98" s="11" t="s">
        <v>611</v>
      </c>
      <c r="E98" s="11" t="s">
        <v>612</v>
      </c>
      <c r="F98" s="11" t="s">
        <v>613</v>
      </c>
      <c r="G98" s="11" t="s">
        <v>142</v>
      </c>
      <c r="H98" s="11" t="s">
        <v>614</v>
      </c>
      <c r="I98" s="11" t="s">
        <v>144</v>
      </c>
      <c r="J98" s="11" t="s">
        <v>136</v>
      </c>
      <c r="K98" s="11" t="s">
        <v>137</v>
      </c>
      <c r="L98" s="11"/>
      <c r="M98" s="11"/>
    </row>
    <row r="99" customFormat="false" ht="23.85" hidden="false" customHeight="false" outlineLevel="0" collapsed="false">
      <c r="A99" s="12" t="s">
        <v>615</v>
      </c>
      <c r="B99" s="12" t="s">
        <v>616</v>
      </c>
      <c r="C99" s="12" t="s">
        <v>564</v>
      </c>
      <c r="D99" s="12" t="s">
        <v>617</v>
      </c>
      <c r="E99" s="12" t="s">
        <v>618</v>
      </c>
      <c r="F99" s="12" t="s">
        <v>619</v>
      </c>
      <c r="G99" s="12" t="s">
        <v>142</v>
      </c>
      <c r="H99" s="12" t="s">
        <v>620</v>
      </c>
      <c r="I99" s="12" t="s">
        <v>135</v>
      </c>
      <c r="J99" s="12" t="s">
        <v>136</v>
      </c>
      <c r="K99" s="12" t="s">
        <v>137</v>
      </c>
      <c r="L99" s="12"/>
      <c r="M99" s="12"/>
    </row>
    <row r="100" customFormat="false" ht="15" hidden="false" customHeight="false" outlineLevel="0" collapsed="false">
      <c r="A100" s="11" t="s">
        <v>621</v>
      </c>
      <c r="B100" s="11" t="s">
        <v>616</v>
      </c>
      <c r="C100" s="11" t="s">
        <v>564</v>
      </c>
      <c r="D100" s="11" t="s">
        <v>622</v>
      </c>
      <c r="E100" s="11" t="s">
        <v>623</v>
      </c>
      <c r="F100" s="11" t="s">
        <v>624</v>
      </c>
      <c r="G100" s="11" t="s">
        <v>142</v>
      </c>
      <c r="H100" s="11" t="s">
        <v>625</v>
      </c>
      <c r="I100" s="11" t="s">
        <v>144</v>
      </c>
      <c r="J100" s="11" t="s">
        <v>136</v>
      </c>
      <c r="K100" s="11" t="s">
        <v>137</v>
      </c>
      <c r="L100" s="11"/>
      <c r="M100" s="11"/>
    </row>
    <row r="101" customFormat="false" ht="15" hidden="false" customHeight="false" outlineLevel="0" collapsed="false">
      <c r="A101" s="12" t="s">
        <v>626</v>
      </c>
      <c r="B101" s="12" t="s">
        <v>616</v>
      </c>
      <c r="C101" s="12" t="s">
        <v>564</v>
      </c>
      <c r="D101" s="12" t="s">
        <v>627</v>
      </c>
      <c r="E101" s="12" t="s">
        <v>623</v>
      </c>
      <c r="F101" s="12" t="s">
        <v>628</v>
      </c>
      <c r="G101" s="12" t="s">
        <v>142</v>
      </c>
      <c r="H101" s="12" t="s">
        <v>629</v>
      </c>
      <c r="I101" s="12" t="s">
        <v>135</v>
      </c>
      <c r="J101" s="12" t="s">
        <v>136</v>
      </c>
      <c r="K101" s="12" t="s">
        <v>137</v>
      </c>
      <c r="L101" s="12"/>
      <c r="M101" s="12"/>
    </row>
    <row r="102" customFormat="false" ht="15" hidden="false" customHeight="false" outlineLevel="0" collapsed="false">
      <c r="A102" s="11" t="s">
        <v>630</v>
      </c>
      <c r="B102" s="11" t="s">
        <v>616</v>
      </c>
      <c r="C102" s="11" t="s">
        <v>564</v>
      </c>
      <c r="D102" s="11" t="s">
        <v>631</v>
      </c>
      <c r="E102" s="11" t="s">
        <v>623</v>
      </c>
      <c r="F102" s="11" t="s">
        <v>632</v>
      </c>
      <c r="G102" s="11" t="s">
        <v>142</v>
      </c>
      <c r="H102" s="11" t="s">
        <v>633</v>
      </c>
      <c r="I102" s="11" t="s">
        <v>135</v>
      </c>
      <c r="J102" s="11" t="s">
        <v>136</v>
      </c>
      <c r="K102" s="11" t="s">
        <v>137</v>
      </c>
      <c r="L102" s="11"/>
      <c r="M102" s="11"/>
    </row>
    <row r="103" customFormat="false" ht="15" hidden="false" customHeight="false" outlineLevel="0" collapsed="false">
      <c r="A103" s="12" t="s">
        <v>634</v>
      </c>
      <c r="B103" s="12" t="s">
        <v>616</v>
      </c>
      <c r="C103" s="12" t="s">
        <v>564</v>
      </c>
      <c r="D103" s="12" t="s">
        <v>635</v>
      </c>
      <c r="E103" s="12" t="s">
        <v>623</v>
      </c>
      <c r="F103" s="12" t="s">
        <v>636</v>
      </c>
      <c r="G103" s="12" t="s">
        <v>637</v>
      </c>
      <c r="H103" s="12" t="s">
        <v>638</v>
      </c>
      <c r="I103" s="12" t="s">
        <v>144</v>
      </c>
      <c r="J103" s="12" t="s">
        <v>136</v>
      </c>
      <c r="K103" s="12" t="s">
        <v>137</v>
      </c>
      <c r="L103" s="12"/>
      <c r="M103" s="12"/>
    </row>
    <row r="104" customFormat="false" ht="15" hidden="false" customHeight="false" outlineLevel="0" collapsed="false">
      <c r="A104" s="11" t="s">
        <v>639</v>
      </c>
      <c r="B104" s="11" t="s">
        <v>616</v>
      </c>
      <c r="C104" s="11" t="s">
        <v>564</v>
      </c>
      <c r="D104" s="11" t="s">
        <v>640</v>
      </c>
      <c r="E104" s="11" t="s">
        <v>623</v>
      </c>
      <c r="F104" s="11" t="s">
        <v>641</v>
      </c>
      <c r="G104" s="11" t="s">
        <v>642</v>
      </c>
      <c r="H104" s="11" t="s">
        <v>638</v>
      </c>
      <c r="I104" s="11" t="s">
        <v>144</v>
      </c>
      <c r="J104" s="11" t="s">
        <v>136</v>
      </c>
      <c r="K104" s="11" t="s">
        <v>137</v>
      </c>
      <c r="L104" s="11"/>
      <c r="M104" s="11"/>
    </row>
    <row r="105" customFormat="false" ht="15" hidden="false" customHeight="false" outlineLevel="0" collapsed="false">
      <c r="A105" s="12" t="s">
        <v>643</v>
      </c>
      <c r="B105" s="12" t="s">
        <v>616</v>
      </c>
      <c r="C105" s="12" t="s">
        <v>564</v>
      </c>
      <c r="D105" s="12" t="s">
        <v>644</v>
      </c>
      <c r="E105" s="12" t="s">
        <v>645</v>
      </c>
      <c r="F105" s="12" t="s">
        <v>646</v>
      </c>
      <c r="G105" s="12" t="s">
        <v>142</v>
      </c>
      <c r="H105" s="12" t="s">
        <v>647</v>
      </c>
      <c r="I105" s="12" t="s">
        <v>144</v>
      </c>
      <c r="J105" s="12" t="s">
        <v>136</v>
      </c>
      <c r="K105" s="12" t="s">
        <v>137</v>
      </c>
      <c r="L105" s="12"/>
      <c r="M105" s="12"/>
    </row>
    <row r="106" customFormat="false" ht="15" hidden="false" customHeight="false" outlineLevel="0" collapsed="false">
      <c r="A106" s="11" t="s">
        <v>648</v>
      </c>
      <c r="B106" s="11" t="s">
        <v>616</v>
      </c>
      <c r="C106" s="11" t="s">
        <v>564</v>
      </c>
      <c r="D106" s="11" t="s">
        <v>649</v>
      </c>
      <c r="E106" s="11" t="s">
        <v>142</v>
      </c>
      <c r="F106" s="11" t="s">
        <v>650</v>
      </c>
      <c r="G106" s="11" t="s">
        <v>651</v>
      </c>
      <c r="H106" s="11" t="s">
        <v>652</v>
      </c>
      <c r="I106" s="11" t="s">
        <v>172</v>
      </c>
      <c r="J106" s="11" t="s">
        <v>173</v>
      </c>
      <c r="K106" s="11" t="s">
        <v>137</v>
      </c>
      <c r="L106" s="11"/>
      <c r="M106" s="11"/>
    </row>
    <row r="107" customFormat="false" ht="23.85" hidden="false" customHeight="false" outlineLevel="0" collapsed="false">
      <c r="A107" s="12" t="s">
        <v>653</v>
      </c>
      <c r="B107" s="12" t="s">
        <v>616</v>
      </c>
      <c r="C107" s="12" t="s">
        <v>564</v>
      </c>
      <c r="D107" s="12" t="s">
        <v>654</v>
      </c>
      <c r="E107" s="12" t="s">
        <v>645</v>
      </c>
      <c r="F107" s="12" t="s">
        <v>655</v>
      </c>
      <c r="G107" s="12" t="s">
        <v>142</v>
      </c>
      <c r="H107" s="12" t="s">
        <v>656</v>
      </c>
      <c r="I107" s="12" t="s">
        <v>172</v>
      </c>
      <c r="J107" s="12" t="s">
        <v>173</v>
      </c>
      <c r="K107" s="12" t="s">
        <v>137</v>
      </c>
      <c r="L107" s="12"/>
      <c r="M107" s="12"/>
    </row>
    <row r="108" customFormat="false" ht="23.85" hidden="false" customHeight="false" outlineLevel="0" collapsed="false">
      <c r="A108" s="11" t="s">
        <v>657</v>
      </c>
      <c r="B108" s="11" t="s">
        <v>616</v>
      </c>
      <c r="C108" s="11" t="s">
        <v>564</v>
      </c>
      <c r="D108" s="11" t="s">
        <v>658</v>
      </c>
      <c r="E108" s="11" t="s">
        <v>659</v>
      </c>
      <c r="F108" s="11" t="s">
        <v>660</v>
      </c>
      <c r="G108" s="11" t="s">
        <v>142</v>
      </c>
      <c r="H108" s="11" t="s">
        <v>661</v>
      </c>
      <c r="I108" s="11" t="s">
        <v>135</v>
      </c>
      <c r="J108" s="11" t="s">
        <v>136</v>
      </c>
      <c r="K108" s="11" t="s">
        <v>137</v>
      </c>
      <c r="L108" s="11"/>
      <c r="M108" s="11"/>
    </row>
    <row r="109" customFormat="false" ht="15" hidden="false" customHeight="false" outlineLevel="0" collapsed="false">
      <c r="A109" s="12" t="s">
        <v>662</v>
      </c>
      <c r="B109" s="12" t="s">
        <v>663</v>
      </c>
      <c r="C109" s="12" t="s">
        <v>95</v>
      </c>
      <c r="D109" s="12" t="s">
        <v>664</v>
      </c>
      <c r="E109" s="12" t="s">
        <v>665</v>
      </c>
      <c r="F109" s="12" t="s">
        <v>666</v>
      </c>
      <c r="G109" s="12" t="s">
        <v>142</v>
      </c>
      <c r="H109" s="12" t="s">
        <v>667</v>
      </c>
      <c r="I109" s="12" t="s">
        <v>144</v>
      </c>
      <c r="J109" s="12" t="s">
        <v>136</v>
      </c>
      <c r="K109" s="12" t="s">
        <v>137</v>
      </c>
      <c r="L109" s="12"/>
      <c r="M109" s="12"/>
    </row>
    <row r="110" customFormat="false" ht="15" hidden="false" customHeight="false" outlineLevel="0" collapsed="false">
      <c r="A110" s="11" t="s">
        <v>668</v>
      </c>
      <c r="B110" s="11" t="s">
        <v>663</v>
      </c>
      <c r="C110" s="11" t="s">
        <v>95</v>
      </c>
      <c r="D110" s="11" t="s">
        <v>669</v>
      </c>
      <c r="E110" s="11" t="s">
        <v>670</v>
      </c>
      <c r="F110" s="11" t="s">
        <v>671</v>
      </c>
      <c r="G110" s="11" t="s">
        <v>142</v>
      </c>
      <c r="H110" s="11" t="s">
        <v>672</v>
      </c>
      <c r="I110" s="11" t="s">
        <v>172</v>
      </c>
      <c r="J110" s="11" t="s">
        <v>136</v>
      </c>
      <c r="K110" s="11" t="s">
        <v>137</v>
      </c>
      <c r="L110" s="11"/>
      <c r="M110" s="11"/>
    </row>
    <row r="111" customFormat="false" ht="15" hidden="false" customHeight="false" outlineLevel="0" collapsed="false">
      <c r="A111" s="12" t="s">
        <v>673</v>
      </c>
      <c r="B111" s="12" t="s">
        <v>663</v>
      </c>
      <c r="C111" s="12" t="s">
        <v>95</v>
      </c>
      <c r="D111" s="12" t="s">
        <v>674</v>
      </c>
      <c r="E111" s="12" t="s">
        <v>670</v>
      </c>
      <c r="F111" s="12" t="s">
        <v>675</v>
      </c>
      <c r="G111" s="12" t="s">
        <v>142</v>
      </c>
      <c r="H111" s="12" t="s">
        <v>672</v>
      </c>
      <c r="I111" s="12" t="s">
        <v>172</v>
      </c>
      <c r="J111" s="12" t="s">
        <v>136</v>
      </c>
      <c r="K111" s="12" t="s">
        <v>137</v>
      </c>
      <c r="L111" s="12"/>
      <c r="M111" s="12"/>
    </row>
    <row r="112" customFormat="false" ht="35.05" hidden="false" customHeight="false" outlineLevel="0" collapsed="false">
      <c r="A112" s="11" t="s">
        <v>676</v>
      </c>
      <c r="B112" s="11" t="s">
        <v>663</v>
      </c>
      <c r="C112" s="11" t="s">
        <v>95</v>
      </c>
      <c r="D112" s="11" t="s">
        <v>677</v>
      </c>
      <c r="E112" s="11" t="s">
        <v>678</v>
      </c>
      <c r="F112" s="11" t="s">
        <v>679</v>
      </c>
      <c r="G112" s="11" t="s">
        <v>680</v>
      </c>
      <c r="H112" s="11" t="s">
        <v>681</v>
      </c>
      <c r="I112" s="11" t="s">
        <v>135</v>
      </c>
      <c r="J112" s="11" t="s">
        <v>136</v>
      </c>
      <c r="K112" s="11" t="s">
        <v>137</v>
      </c>
      <c r="L112" s="11"/>
      <c r="M112" s="11"/>
    </row>
    <row r="113" customFormat="false" ht="15" hidden="false" customHeight="false" outlineLevel="0" collapsed="false">
      <c r="A113" s="12" t="s">
        <v>682</v>
      </c>
      <c r="B113" s="12" t="s">
        <v>663</v>
      </c>
      <c r="C113" s="12" t="s">
        <v>95</v>
      </c>
      <c r="D113" s="12" t="s">
        <v>683</v>
      </c>
      <c r="E113" s="12" t="s">
        <v>678</v>
      </c>
      <c r="F113" s="12" t="s">
        <v>684</v>
      </c>
      <c r="G113" s="12" t="s">
        <v>142</v>
      </c>
      <c r="H113" s="12" t="s">
        <v>685</v>
      </c>
      <c r="I113" s="12" t="s">
        <v>135</v>
      </c>
      <c r="J113" s="12" t="s">
        <v>136</v>
      </c>
      <c r="K113" s="12" t="s">
        <v>137</v>
      </c>
      <c r="L113" s="12"/>
      <c r="M113" s="12"/>
    </row>
    <row r="114" customFormat="false" ht="23.85" hidden="false" customHeight="false" outlineLevel="0" collapsed="false">
      <c r="A114" s="11" t="s">
        <v>686</v>
      </c>
      <c r="B114" s="11" t="s">
        <v>663</v>
      </c>
      <c r="C114" s="11" t="s">
        <v>95</v>
      </c>
      <c r="D114" s="11" t="s">
        <v>687</v>
      </c>
      <c r="E114" s="11" t="s">
        <v>678</v>
      </c>
      <c r="F114" s="11" t="s">
        <v>688</v>
      </c>
      <c r="G114" s="11" t="s">
        <v>142</v>
      </c>
      <c r="H114" s="11" t="s">
        <v>689</v>
      </c>
      <c r="I114" s="11" t="s">
        <v>144</v>
      </c>
      <c r="J114" s="11" t="s">
        <v>136</v>
      </c>
      <c r="K114" s="11" t="s">
        <v>137</v>
      </c>
      <c r="L114" s="11"/>
      <c r="M114" s="11"/>
    </row>
    <row r="115" customFormat="false" ht="15" hidden="false" customHeight="false" outlineLevel="0" collapsed="false">
      <c r="A115" s="12" t="s">
        <v>690</v>
      </c>
      <c r="B115" s="12" t="s">
        <v>663</v>
      </c>
      <c r="C115" s="12" t="s">
        <v>95</v>
      </c>
      <c r="D115" s="12" t="s">
        <v>691</v>
      </c>
      <c r="E115" s="12" t="s">
        <v>678</v>
      </c>
      <c r="F115" s="12" t="s">
        <v>692</v>
      </c>
      <c r="G115" s="12" t="s">
        <v>142</v>
      </c>
      <c r="H115" s="12" t="s">
        <v>693</v>
      </c>
      <c r="I115" s="12" t="s">
        <v>144</v>
      </c>
      <c r="J115" s="12" t="s">
        <v>136</v>
      </c>
      <c r="K115" s="12" t="s">
        <v>137</v>
      </c>
      <c r="L115" s="12"/>
      <c r="M115" s="12"/>
    </row>
    <row r="116" customFormat="false" ht="23.85" hidden="false" customHeight="false" outlineLevel="0" collapsed="false">
      <c r="A116" s="11" t="s">
        <v>694</v>
      </c>
      <c r="B116" s="11" t="s">
        <v>663</v>
      </c>
      <c r="C116" s="11" t="s">
        <v>95</v>
      </c>
      <c r="D116" s="11" t="s">
        <v>695</v>
      </c>
      <c r="E116" s="11" t="s">
        <v>696</v>
      </c>
      <c r="F116" s="11" t="s">
        <v>697</v>
      </c>
      <c r="G116" s="11" t="s">
        <v>698</v>
      </c>
      <c r="H116" s="11" t="s">
        <v>699</v>
      </c>
      <c r="I116" s="11" t="s">
        <v>144</v>
      </c>
      <c r="J116" s="11" t="s">
        <v>136</v>
      </c>
      <c r="K116" s="11" t="s">
        <v>137</v>
      </c>
      <c r="L116" s="11"/>
      <c r="M116" s="11"/>
    </row>
    <row r="117" customFormat="false" ht="15" hidden="false" customHeight="false" outlineLevel="0" collapsed="false">
      <c r="A117" s="12" t="s">
        <v>700</v>
      </c>
      <c r="B117" s="12" t="s">
        <v>663</v>
      </c>
      <c r="C117" s="12" t="s">
        <v>95</v>
      </c>
      <c r="D117" s="12" t="s">
        <v>701</v>
      </c>
      <c r="E117" s="12" t="s">
        <v>670</v>
      </c>
      <c r="F117" s="12" t="s">
        <v>702</v>
      </c>
      <c r="G117" s="12" t="s">
        <v>142</v>
      </c>
      <c r="H117" s="12" t="s">
        <v>703</v>
      </c>
      <c r="I117" s="12" t="s">
        <v>135</v>
      </c>
      <c r="J117" s="12" t="s">
        <v>136</v>
      </c>
      <c r="K117" s="12" t="s">
        <v>137</v>
      </c>
      <c r="L117" s="12"/>
      <c r="M117" s="12"/>
    </row>
    <row r="118" customFormat="false" ht="23.85" hidden="false" customHeight="false" outlineLevel="0" collapsed="false">
      <c r="A118" s="11" t="s">
        <v>704</v>
      </c>
      <c r="B118" s="11" t="s">
        <v>663</v>
      </c>
      <c r="C118" s="11" t="s">
        <v>95</v>
      </c>
      <c r="D118" s="11" t="s">
        <v>705</v>
      </c>
      <c r="E118" s="11" t="s">
        <v>706</v>
      </c>
      <c r="F118" s="11" t="s">
        <v>707</v>
      </c>
      <c r="G118" s="11" t="s">
        <v>142</v>
      </c>
      <c r="H118" s="11" t="s">
        <v>708</v>
      </c>
      <c r="I118" s="11" t="s">
        <v>172</v>
      </c>
      <c r="J118" s="11" t="s">
        <v>136</v>
      </c>
      <c r="K118" s="11" t="s">
        <v>137</v>
      </c>
      <c r="L118" s="11"/>
      <c r="M118" s="11"/>
    </row>
    <row r="119" customFormat="false" ht="23.85" hidden="false" customHeight="false" outlineLevel="0" collapsed="false">
      <c r="A119" s="12" t="s">
        <v>709</v>
      </c>
      <c r="B119" s="12" t="s">
        <v>663</v>
      </c>
      <c r="C119" s="12" t="s">
        <v>95</v>
      </c>
      <c r="D119" s="12" t="s">
        <v>710</v>
      </c>
      <c r="E119" s="12" t="s">
        <v>711</v>
      </c>
      <c r="F119" s="12" t="s">
        <v>712</v>
      </c>
      <c r="G119" s="12" t="s">
        <v>142</v>
      </c>
      <c r="H119" s="12" t="s">
        <v>713</v>
      </c>
      <c r="I119" s="12" t="s">
        <v>144</v>
      </c>
      <c r="J119" s="12" t="s">
        <v>136</v>
      </c>
      <c r="K119" s="12" t="s">
        <v>137</v>
      </c>
      <c r="L119" s="12"/>
      <c r="M119" s="12"/>
    </row>
    <row r="120" customFormat="false" ht="23.85" hidden="false" customHeight="false" outlineLevel="0" collapsed="false">
      <c r="A120" s="11" t="s">
        <v>714</v>
      </c>
      <c r="B120" s="11" t="s">
        <v>663</v>
      </c>
      <c r="C120" s="11" t="s">
        <v>95</v>
      </c>
      <c r="D120" s="11" t="s">
        <v>715</v>
      </c>
      <c r="E120" s="11" t="s">
        <v>711</v>
      </c>
      <c r="F120" s="11" t="s">
        <v>716</v>
      </c>
      <c r="G120" s="11" t="s">
        <v>142</v>
      </c>
      <c r="H120" s="11" t="s">
        <v>717</v>
      </c>
      <c r="I120" s="11" t="s">
        <v>144</v>
      </c>
      <c r="J120" s="11" t="s">
        <v>136</v>
      </c>
      <c r="K120" s="11" t="s">
        <v>137</v>
      </c>
      <c r="L120" s="11"/>
      <c r="M120" s="11"/>
    </row>
    <row r="121" customFormat="false" ht="15" hidden="false" customHeight="false" outlineLevel="0" collapsed="false">
      <c r="A121" s="12" t="s">
        <v>718</v>
      </c>
      <c r="B121" s="12" t="s">
        <v>719</v>
      </c>
      <c r="C121" s="12" t="s">
        <v>720</v>
      </c>
      <c r="D121" s="12" t="s">
        <v>721</v>
      </c>
      <c r="E121" s="12" t="s">
        <v>670</v>
      </c>
      <c r="F121" s="12" t="s">
        <v>722</v>
      </c>
      <c r="G121" s="12" t="s">
        <v>44</v>
      </c>
      <c r="H121" s="12" t="s">
        <v>723</v>
      </c>
      <c r="I121" s="12" t="s">
        <v>144</v>
      </c>
      <c r="J121" s="12" t="s">
        <v>136</v>
      </c>
      <c r="K121" s="12" t="s">
        <v>137</v>
      </c>
      <c r="L121" s="12"/>
      <c r="M121" s="12"/>
    </row>
    <row r="122" customFormat="false" ht="15" hidden="false" customHeight="false" outlineLevel="0" collapsed="false">
      <c r="A122" s="11" t="s">
        <v>724</v>
      </c>
      <c r="B122" s="11" t="s">
        <v>719</v>
      </c>
      <c r="C122" s="11" t="s">
        <v>720</v>
      </c>
      <c r="D122" s="11" t="s">
        <v>725</v>
      </c>
      <c r="E122" s="11" t="s">
        <v>726</v>
      </c>
      <c r="F122" s="11" t="s">
        <v>727</v>
      </c>
      <c r="G122" s="11" t="s">
        <v>142</v>
      </c>
      <c r="H122" s="11" t="s">
        <v>728</v>
      </c>
      <c r="I122" s="11" t="s">
        <v>144</v>
      </c>
      <c r="J122" s="11" t="s">
        <v>136</v>
      </c>
      <c r="K122" s="11" t="s">
        <v>137</v>
      </c>
      <c r="L122" s="11"/>
      <c r="M122" s="11"/>
    </row>
    <row r="123" customFormat="false" ht="15" hidden="false" customHeight="false" outlineLevel="0" collapsed="false">
      <c r="A123" s="12" t="s">
        <v>729</v>
      </c>
      <c r="B123" s="12" t="s">
        <v>719</v>
      </c>
      <c r="C123" s="12" t="s">
        <v>720</v>
      </c>
      <c r="D123" s="12" t="s">
        <v>730</v>
      </c>
      <c r="E123" s="12" t="s">
        <v>731</v>
      </c>
      <c r="F123" s="12" t="s">
        <v>732</v>
      </c>
      <c r="G123" s="12" t="s">
        <v>142</v>
      </c>
      <c r="H123" s="12" t="s">
        <v>733</v>
      </c>
      <c r="I123" s="12" t="s">
        <v>734</v>
      </c>
      <c r="J123" s="12" t="s">
        <v>136</v>
      </c>
      <c r="K123" s="12" t="s">
        <v>137</v>
      </c>
      <c r="L123" s="12"/>
      <c r="M123" s="12"/>
    </row>
    <row r="124" customFormat="false" ht="23.85" hidden="false" customHeight="false" outlineLevel="0" collapsed="false">
      <c r="A124" s="11" t="s">
        <v>735</v>
      </c>
      <c r="B124" s="11" t="s">
        <v>719</v>
      </c>
      <c r="C124" s="11" t="s">
        <v>720</v>
      </c>
      <c r="D124" s="11" t="s">
        <v>736</v>
      </c>
      <c r="E124" s="11" t="s">
        <v>737</v>
      </c>
      <c r="F124" s="11" t="s">
        <v>738</v>
      </c>
      <c r="G124" s="11" t="s">
        <v>142</v>
      </c>
      <c r="H124" s="11" t="s">
        <v>739</v>
      </c>
      <c r="I124" s="11" t="s">
        <v>172</v>
      </c>
      <c r="J124" s="11" t="s">
        <v>136</v>
      </c>
      <c r="K124" s="11" t="s">
        <v>137</v>
      </c>
      <c r="L124" s="11"/>
      <c r="M124" s="11"/>
    </row>
    <row r="125" customFormat="false" ht="23.85" hidden="false" customHeight="false" outlineLevel="0" collapsed="false">
      <c r="A125" s="12" t="s">
        <v>740</v>
      </c>
      <c r="B125" s="12" t="s">
        <v>719</v>
      </c>
      <c r="C125" s="12" t="s">
        <v>720</v>
      </c>
      <c r="D125" s="12" t="s">
        <v>741</v>
      </c>
      <c r="E125" s="12" t="s">
        <v>291</v>
      </c>
      <c r="F125" s="12" t="s">
        <v>742</v>
      </c>
      <c r="G125" s="12" t="s">
        <v>142</v>
      </c>
      <c r="H125" s="12" t="s">
        <v>743</v>
      </c>
      <c r="I125" s="12" t="s">
        <v>144</v>
      </c>
      <c r="J125" s="12" t="s">
        <v>136</v>
      </c>
      <c r="K125" s="12" t="s">
        <v>137</v>
      </c>
      <c r="L125" s="12"/>
      <c r="M125" s="12"/>
    </row>
    <row r="126" customFormat="false" ht="23.85" hidden="false" customHeight="false" outlineLevel="0" collapsed="false">
      <c r="A126" s="11" t="s">
        <v>744</v>
      </c>
      <c r="B126" s="11" t="s">
        <v>719</v>
      </c>
      <c r="C126" s="11" t="s">
        <v>720</v>
      </c>
      <c r="D126" s="11" t="s">
        <v>745</v>
      </c>
      <c r="E126" s="11" t="s">
        <v>291</v>
      </c>
      <c r="F126" s="11" t="s">
        <v>746</v>
      </c>
      <c r="G126" s="11" t="s">
        <v>142</v>
      </c>
      <c r="H126" s="11" t="s">
        <v>747</v>
      </c>
      <c r="I126" s="11" t="s">
        <v>144</v>
      </c>
      <c r="J126" s="11" t="s">
        <v>136</v>
      </c>
      <c r="K126" s="11" t="s">
        <v>137</v>
      </c>
      <c r="L126" s="11"/>
      <c r="M126" s="11"/>
    </row>
    <row r="127" customFormat="false" ht="15" hidden="false" customHeight="false" outlineLevel="0" collapsed="false">
      <c r="A127" s="12" t="s">
        <v>748</v>
      </c>
      <c r="B127" s="12" t="s">
        <v>719</v>
      </c>
      <c r="C127" s="12" t="s">
        <v>720</v>
      </c>
      <c r="D127" s="12" t="s">
        <v>749</v>
      </c>
      <c r="E127" s="12" t="s">
        <v>750</v>
      </c>
      <c r="F127" s="12" t="s">
        <v>751</v>
      </c>
      <c r="G127" s="12" t="s">
        <v>752</v>
      </c>
      <c r="H127" s="12" t="s">
        <v>753</v>
      </c>
      <c r="I127" s="12" t="s">
        <v>172</v>
      </c>
      <c r="J127" s="12" t="s">
        <v>136</v>
      </c>
      <c r="K127" s="12" t="s">
        <v>137</v>
      </c>
      <c r="L127" s="12"/>
      <c r="M127" s="12"/>
    </row>
    <row r="128" customFormat="false" ht="23.85" hidden="false" customHeight="false" outlineLevel="0" collapsed="false">
      <c r="A128" s="11" t="s">
        <v>754</v>
      </c>
      <c r="B128" s="11" t="s">
        <v>719</v>
      </c>
      <c r="C128" s="11" t="s">
        <v>720</v>
      </c>
      <c r="D128" s="11" t="s">
        <v>755</v>
      </c>
      <c r="E128" s="11" t="s">
        <v>750</v>
      </c>
      <c r="F128" s="11" t="s">
        <v>756</v>
      </c>
      <c r="G128" s="11" t="s">
        <v>142</v>
      </c>
      <c r="H128" s="11" t="s">
        <v>757</v>
      </c>
      <c r="I128" s="11" t="s">
        <v>144</v>
      </c>
      <c r="J128" s="11" t="s">
        <v>136</v>
      </c>
      <c r="K128" s="11" t="s">
        <v>137</v>
      </c>
      <c r="L128" s="11"/>
      <c r="M128" s="11"/>
    </row>
    <row r="129" customFormat="false" ht="15" hidden="false" customHeight="false" outlineLevel="0" collapsed="false">
      <c r="A129" s="12" t="s">
        <v>758</v>
      </c>
      <c r="B129" s="12" t="s">
        <v>719</v>
      </c>
      <c r="C129" s="12" t="s">
        <v>720</v>
      </c>
      <c r="D129" s="12" t="s">
        <v>759</v>
      </c>
      <c r="E129" s="12" t="s">
        <v>760</v>
      </c>
      <c r="F129" s="12" t="s">
        <v>761</v>
      </c>
      <c r="G129" s="12" t="s">
        <v>142</v>
      </c>
      <c r="H129" s="12" t="s">
        <v>762</v>
      </c>
      <c r="I129" s="12" t="s">
        <v>172</v>
      </c>
      <c r="J129" s="12" t="s">
        <v>173</v>
      </c>
      <c r="K129" s="12" t="s">
        <v>137</v>
      </c>
      <c r="L129" s="12"/>
      <c r="M129" s="12"/>
    </row>
    <row r="130" customFormat="false" ht="15" hidden="false" customHeight="false" outlineLevel="0" collapsed="false">
      <c r="A130" s="11" t="s">
        <v>763</v>
      </c>
      <c r="B130" s="11" t="s">
        <v>719</v>
      </c>
      <c r="C130" s="11" t="s">
        <v>720</v>
      </c>
      <c r="D130" s="11" t="s">
        <v>764</v>
      </c>
      <c r="E130" s="11" t="s">
        <v>765</v>
      </c>
      <c r="F130" s="11" t="s">
        <v>766</v>
      </c>
      <c r="G130" s="11" t="s">
        <v>142</v>
      </c>
      <c r="H130" s="11" t="s">
        <v>767</v>
      </c>
      <c r="I130" s="11" t="s">
        <v>172</v>
      </c>
      <c r="J130" s="11" t="s">
        <v>173</v>
      </c>
      <c r="K130" s="11" t="s">
        <v>137</v>
      </c>
      <c r="L130" s="11"/>
      <c r="M130" s="11"/>
    </row>
    <row r="131" customFormat="false" ht="23.85" hidden="false" customHeight="false" outlineLevel="0" collapsed="false">
      <c r="A131" s="12" t="s">
        <v>768</v>
      </c>
      <c r="B131" s="12" t="s">
        <v>719</v>
      </c>
      <c r="C131" s="12" t="s">
        <v>720</v>
      </c>
      <c r="D131" s="12" t="s">
        <v>769</v>
      </c>
      <c r="E131" s="12" t="s">
        <v>770</v>
      </c>
      <c r="F131" s="12" t="s">
        <v>771</v>
      </c>
      <c r="G131" s="12" t="s">
        <v>142</v>
      </c>
      <c r="H131" s="12" t="s">
        <v>772</v>
      </c>
      <c r="I131" s="12" t="s">
        <v>144</v>
      </c>
      <c r="J131" s="12" t="s">
        <v>136</v>
      </c>
      <c r="K131" s="12" t="s">
        <v>137</v>
      </c>
      <c r="L131" s="12"/>
      <c r="M131" s="12"/>
    </row>
    <row r="132" customFormat="false" ht="23.85" hidden="false" customHeight="false" outlineLevel="0" collapsed="false">
      <c r="A132" s="11" t="s">
        <v>773</v>
      </c>
      <c r="B132" s="11" t="s">
        <v>719</v>
      </c>
      <c r="C132" s="11" t="s">
        <v>720</v>
      </c>
      <c r="D132" s="11" t="s">
        <v>774</v>
      </c>
      <c r="E132" s="11" t="s">
        <v>775</v>
      </c>
      <c r="F132" s="11" t="s">
        <v>776</v>
      </c>
      <c r="G132" s="11" t="s">
        <v>142</v>
      </c>
      <c r="H132" s="11" t="s">
        <v>777</v>
      </c>
      <c r="I132" s="11" t="s">
        <v>135</v>
      </c>
      <c r="J132" s="11" t="s">
        <v>136</v>
      </c>
      <c r="K132" s="11" t="s">
        <v>137</v>
      </c>
      <c r="L132" s="11"/>
      <c r="M132" s="11"/>
    </row>
    <row r="133" customFormat="false" ht="23.85" hidden="false" customHeight="false" outlineLevel="0" collapsed="false">
      <c r="A133" s="12" t="s">
        <v>778</v>
      </c>
      <c r="B133" s="12" t="s">
        <v>719</v>
      </c>
      <c r="C133" s="12" t="s">
        <v>720</v>
      </c>
      <c r="D133" s="12" t="s">
        <v>779</v>
      </c>
      <c r="E133" s="12" t="s">
        <v>780</v>
      </c>
      <c r="F133" s="12" t="s">
        <v>781</v>
      </c>
      <c r="G133" s="12" t="s">
        <v>142</v>
      </c>
      <c r="H133" s="12" t="s">
        <v>782</v>
      </c>
      <c r="I133" s="12" t="s">
        <v>172</v>
      </c>
      <c r="J133" s="12" t="s">
        <v>136</v>
      </c>
      <c r="K133" s="12" t="s">
        <v>137</v>
      </c>
      <c r="L133" s="12"/>
      <c r="M133" s="12"/>
    </row>
    <row r="134" customFormat="false" ht="15" hidden="false" customHeight="false" outlineLevel="0" collapsed="false">
      <c r="A134" s="11" t="s">
        <v>783</v>
      </c>
      <c r="B134" s="11" t="s">
        <v>719</v>
      </c>
      <c r="C134" s="11" t="s">
        <v>720</v>
      </c>
      <c r="D134" s="11" t="s">
        <v>784</v>
      </c>
      <c r="E134" s="11" t="s">
        <v>785</v>
      </c>
      <c r="F134" s="11" t="s">
        <v>786</v>
      </c>
      <c r="G134" s="11" t="s">
        <v>142</v>
      </c>
      <c r="H134" s="11" t="s">
        <v>787</v>
      </c>
      <c r="I134" s="11" t="s">
        <v>144</v>
      </c>
      <c r="J134" s="11" t="s">
        <v>136</v>
      </c>
      <c r="K134" s="11" t="s">
        <v>137</v>
      </c>
      <c r="L134" s="11"/>
      <c r="M134" s="11"/>
    </row>
    <row r="135" customFormat="false" ht="23.85" hidden="false" customHeight="false" outlineLevel="0" collapsed="false">
      <c r="A135" s="12" t="s">
        <v>788</v>
      </c>
      <c r="B135" s="12" t="s">
        <v>719</v>
      </c>
      <c r="C135" s="12" t="s">
        <v>720</v>
      </c>
      <c r="D135" s="12" t="s">
        <v>789</v>
      </c>
      <c r="E135" s="12" t="s">
        <v>785</v>
      </c>
      <c r="F135" s="12" t="s">
        <v>790</v>
      </c>
      <c r="G135" s="12" t="s">
        <v>791</v>
      </c>
      <c r="H135" s="12" t="s">
        <v>792</v>
      </c>
      <c r="I135" s="12" t="s">
        <v>144</v>
      </c>
      <c r="J135" s="12" t="s">
        <v>136</v>
      </c>
      <c r="K135" s="12" t="s">
        <v>137</v>
      </c>
      <c r="L135" s="12"/>
      <c r="M135" s="12"/>
    </row>
    <row r="136" customFormat="false" ht="15" hidden="false" customHeight="false" outlineLevel="0" collapsed="false">
      <c r="A136" s="11" t="s">
        <v>793</v>
      </c>
      <c r="B136" s="11" t="s">
        <v>719</v>
      </c>
      <c r="C136" s="11" t="s">
        <v>720</v>
      </c>
      <c r="D136" s="11" t="s">
        <v>794</v>
      </c>
      <c r="E136" s="11" t="s">
        <v>785</v>
      </c>
      <c r="F136" s="11" t="s">
        <v>795</v>
      </c>
      <c r="G136" s="11" t="s">
        <v>796</v>
      </c>
      <c r="H136" s="11" t="s">
        <v>797</v>
      </c>
      <c r="I136" s="11" t="s">
        <v>144</v>
      </c>
      <c r="J136" s="11" t="s">
        <v>136</v>
      </c>
      <c r="K136" s="11" t="s">
        <v>137</v>
      </c>
      <c r="L136" s="11"/>
      <c r="M136" s="11"/>
    </row>
    <row r="137" customFormat="false" ht="15" hidden="false" customHeight="false" outlineLevel="0" collapsed="false">
      <c r="A137" s="12" t="s">
        <v>798</v>
      </c>
      <c r="B137" s="12" t="s">
        <v>719</v>
      </c>
      <c r="C137" s="12" t="s">
        <v>720</v>
      </c>
      <c r="D137" s="12" t="s">
        <v>799</v>
      </c>
      <c r="E137" s="12" t="s">
        <v>800</v>
      </c>
      <c r="F137" s="12" t="s">
        <v>801</v>
      </c>
      <c r="G137" s="12" t="s">
        <v>142</v>
      </c>
      <c r="H137" s="12" t="s">
        <v>802</v>
      </c>
      <c r="I137" s="12" t="s">
        <v>135</v>
      </c>
      <c r="J137" s="12" t="s">
        <v>136</v>
      </c>
      <c r="K137" s="12" t="s">
        <v>137</v>
      </c>
      <c r="L137" s="12"/>
      <c r="M137" s="12"/>
    </row>
    <row r="138" customFormat="false" ht="15" hidden="false" customHeight="false" outlineLevel="0" collapsed="false">
      <c r="A138" s="11" t="s">
        <v>803</v>
      </c>
      <c r="B138" s="11" t="s">
        <v>719</v>
      </c>
      <c r="C138" s="11" t="s">
        <v>720</v>
      </c>
      <c r="D138" s="11" t="s">
        <v>804</v>
      </c>
      <c r="E138" s="11" t="s">
        <v>805</v>
      </c>
      <c r="F138" s="11" t="s">
        <v>806</v>
      </c>
      <c r="G138" s="11" t="s">
        <v>142</v>
      </c>
      <c r="H138" s="11" t="s">
        <v>475</v>
      </c>
      <c r="I138" s="11" t="s">
        <v>144</v>
      </c>
      <c r="J138" s="11" t="s">
        <v>136</v>
      </c>
      <c r="K138" s="11" t="s">
        <v>137</v>
      </c>
      <c r="L138" s="11"/>
      <c r="M138" s="11"/>
    </row>
    <row r="139" customFormat="false" ht="23.85" hidden="false" customHeight="false" outlineLevel="0" collapsed="false">
      <c r="A139" s="12" t="s">
        <v>807</v>
      </c>
      <c r="B139" s="12" t="s">
        <v>719</v>
      </c>
      <c r="C139" s="12" t="s">
        <v>720</v>
      </c>
      <c r="D139" s="12" t="s">
        <v>808</v>
      </c>
      <c r="E139" s="12" t="s">
        <v>809</v>
      </c>
      <c r="F139" s="12" t="s">
        <v>810</v>
      </c>
      <c r="G139" s="12" t="s">
        <v>142</v>
      </c>
      <c r="H139" s="12" t="s">
        <v>811</v>
      </c>
      <c r="I139" s="12" t="s">
        <v>135</v>
      </c>
      <c r="J139" s="12" t="s">
        <v>136</v>
      </c>
      <c r="K139" s="12" t="s">
        <v>137</v>
      </c>
      <c r="L139" s="12"/>
      <c r="M139" s="12"/>
    </row>
    <row r="140" customFormat="false" ht="15" hidden="false" customHeight="false" outlineLevel="0" collapsed="false">
      <c r="A140" s="11" t="s">
        <v>812</v>
      </c>
      <c r="B140" s="11" t="s">
        <v>719</v>
      </c>
      <c r="C140" s="11" t="s">
        <v>720</v>
      </c>
      <c r="D140" s="11" t="s">
        <v>813</v>
      </c>
      <c r="E140" s="11" t="s">
        <v>780</v>
      </c>
      <c r="F140" s="11" t="s">
        <v>814</v>
      </c>
      <c r="G140" s="11" t="s">
        <v>142</v>
      </c>
      <c r="H140" s="11" t="s">
        <v>815</v>
      </c>
      <c r="I140" s="11" t="s">
        <v>144</v>
      </c>
      <c r="J140" s="11" t="s">
        <v>136</v>
      </c>
      <c r="K140" s="11" t="s">
        <v>137</v>
      </c>
      <c r="L140" s="11"/>
      <c r="M140" s="11"/>
    </row>
    <row r="141" customFormat="false" ht="23.85" hidden="false" customHeight="false" outlineLevel="0" collapsed="false">
      <c r="A141" s="12" t="s">
        <v>816</v>
      </c>
      <c r="B141" s="12" t="s">
        <v>719</v>
      </c>
      <c r="C141" s="12" t="s">
        <v>720</v>
      </c>
      <c r="D141" s="12" t="s">
        <v>817</v>
      </c>
      <c r="E141" s="12" t="s">
        <v>818</v>
      </c>
      <c r="F141" s="12" t="s">
        <v>819</v>
      </c>
      <c r="G141" s="12" t="s">
        <v>142</v>
      </c>
      <c r="H141" s="12" t="s">
        <v>820</v>
      </c>
      <c r="I141" s="12" t="s">
        <v>144</v>
      </c>
      <c r="J141" s="12" t="s">
        <v>136</v>
      </c>
      <c r="K141" s="12" t="s">
        <v>137</v>
      </c>
      <c r="L141" s="12"/>
      <c r="M141" s="12"/>
    </row>
    <row r="142" customFormat="false" ht="23.85" hidden="false" customHeight="false" outlineLevel="0" collapsed="false">
      <c r="A142" s="11" t="s">
        <v>821</v>
      </c>
      <c r="B142" s="11" t="s">
        <v>719</v>
      </c>
      <c r="C142" s="11" t="s">
        <v>720</v>
      </c>
      <c r="D142" s="11" t="s">
        <v>822</v>
      </c>
      <c r="E142" s="11" t="s">
        <v>823</v>
      </c>
      <c r="F142" s="11" t="s">
        <v>746</v>
      </c>
      <c r="G142" s="11" t="s">
        <v>142</v>
      </c>
      <c r="H142" s="11" t="s">
        <v>824</v>
      </c>
      <c r="I142" s="11" t="s">
        <v>144</v>
      </c>
      <c r="J142" s="11" t="s">
        <v>136</v>
      </c>
      <c r="K142" s="11" t="s">
        <v>137</v>
      </c>
      <c r="L142" s="11"/>
      <c r="M142" s="11"/>
    </row>
    <row r="143" customFormat="false" ht="23.85" hidden="false" customHeight="false" outlineLevel="0" collapsed="false">
      <c r="A143" s="12" t="s">
        <v>825</v>
      </c>
      <c r="B143" s="12" t="s">
        <v>719</v>
      </c>
      <c r="C143" s="12" t="s">
        <v>720</v>
      </c>
      <c r="D143" s="12" t="s">
        <v>826</v>
      </c>
      <c r="E143" s="12" t="s">
        <v>827</v>
      </c>
      <c r="F143" s="12" t="s">
        <v>560</v>
      </c>
      <c r="G143" s="12" t="s">
        <v>142</v>
      </c>
      <c r="H143" s="12" t="s">
        <v>828</v>
      </c>
      <c r="I143" s="12" t="s">
        <v>144</v>
      </c>
      <c r="J143" s="12" t="s">
        <v>136</v>
      </c>
      <c r="K143" s="12" t="s">
        <v>137</v>
      </c>
      <c r="L143" s="12"/>
      <c r="M143" s="12"/>
    </row>
    <row r="144" customFormat="false" ht="15" hidden="false" customHeight="false" outlineLevel="0" collapsed="false">
      <c r="A144" s="11" t="s">
        <v>829</v>
      </c>
      <c r="B144" s="11" t="s">
        <v>830</v>
      </c>
      <c r="C144" s="11" t="s">
        <v>831</v>
      </c>
      <c r="D144" s="11" t="s">
        <v>832</v>
      </c>
      <c r="E144" s="11" t="s">
        <v>417</v>
      </c>
      <c r="F144" s="11" t="s">
        <v>833</v>
      </c>
      <c r="G144" s="11" t="s">
        <v>142</v>
      </c>
      <c r="H144" s="11" t="s">
        <v>834</v>
      </c>
      <c r="I144" s="11" t="s">
        <v>144</v>
      </c>
      <c r="J144" s="11" t="s">
        <v>273</v>
      </c>
      <c r="K144" s="11" t="s">
        <v>137</v>
      </c>
      <c r="L144" s="11"/>
      <c r="M144" s="11"/>
    </row>
    <row r="145" customFormat="false" ht="15" hidden="false" customHeight="false" outlineLevel="0" collapsed="false">
      <c r="A145" s="12" t="s">
        <v>835</v>
      </c>
      <c r="B145" s="12" t="s">
        <v>830</v>
      </c>
      <c r="C145" s="12" t="s">
        <v>831</v>
      </c>
      <c r="D145" s="12" t="s">
        <v>836</v>
      </c>
      <c r="E145" s="12" t="s">
        <v>417</v>
      </c>
      <c r="F145" s="12" t="s">
        <v>837</v>
      </c>
      <c r="G145" s="12" t="s">
        <v>142</v>
      </c>
      <c r="H145" s="12" t="s">
        <v>838</v>
      </c>
      <c r="I145" s="12" t="s">
        <v>135</v>
      </c>
      <c r="J145" s="12" t="s">
        <v>273</v>
      </c>
      <c r="K145" s="12" t="s">
        <v>137</v>
      </c>
      <c r="L145" s="12"/>
      <c r="M145" s="12"/>
    </row>
    <row r="146" customFormat="false" ht="23.85" hidden="false" customHeight="false" outlineLevel="0" collapsed="false">
      <c r="A146" s="11" t="s">
        <v>839</v>
      </c>
      <c r="B146" s="11" t="s">
        <v>830</v>
      </c>
      <c r="C146" s="11" t="s">
        <v>831</v>
      </c>
      <c r="D146" s="11" t="s">
        <v>840</v>
      </c>
      <c r="E146" s="11" t="s">
        <v>417</v>
      </c>
      <c r="F146" s="11" t="s">
        <v>841</v>
      </c>
      <c r="G146" s="11" t="s">
        <v>142</v>
      </c>
      <c r="H146" s="11" t="s">
        <v>842</v>
      </c>
      <c r="I146" s="11" t="s">
        <v>144</v>
      </c>
      <c r="J146" s="11" t="s">
        <v>273</v>
      </c>
      <c r="K146" s="11" t="s">
        <v>137</v>
      </c>
      <c r="L146" s="11"/>
      <c r="M146" s="11"/>
    </row>
    <row r="147" customFormat="false" ht="23.85" hidden="false" customHeight="false" outlineLevel="0" collapsed="false">
      <c r="A147" s="12" t="s">
        <v>843</v>
      </c>
      <c r="B147" s="12" t="s">
        <v>830</v>
      </c>
      <c r="C147" s="12" t="s">
        <v>831</v>
      </c>
      <c r="D147" s="12" t="s">
        <v>844</v>
      </c>
      <c r="E147" s="12" t="s">
        <v>845</v>
      </c>
      <c r="F147" s="12" t="s">
        <v>846</v>
      </c>
      <c r="G147" s="12" t="s">
        <v>142</v>
      </c>
      <c r="H147" s="12" t="s">
        <v>847</v>
      </c>
      <c r="I147" s="12" t="s">
        <v>144</v>
      </c>
      <c r="J147" s="12" t="s">
        <v>136</v>
      </c>
      <c r="K147" s="12" t="s">
        <v>137</v>
      </c>
      <c r="L147" s="12"/>
      <c r="M147" s="12"/>
    </row>
    <row r="148" customFormat="false" ht="15" hidden="false" customHeight="false" outlineLevel="0" collapsed="false">
      <c r="A148" s="11" t="s">
        <v>848</v>
      </c>
      <c r="B148" s="11" t="s">
        <v>830</v>
      </c>
      <c r="C148" s="11" t="s">
        <v>831</v>
      </c>
      <c r="D148" s="11" t="s">
        <v>849</v>
      </c>
      <c r="E148" s="11" t="s">
        <v>850</v>
      </c>
      <c r="F148" s="11" t="s">
        <v>851</v>
      </c>
      <c r="G148" s="11" t="s">
        <v>142</v>
      </c>
      <c r="H148" s="11" t="s">
        <v>852</v>
      </c>
      <c r="I148" s="11" t="s">
        <v>144</v>
      </c>
      <c r="J148" s="11" t="s">
        <v>136</v>
      </c>
      <c r="K148" s="11" t="s">
        <v>137</v>
      </c>
      <c r="L148" s="11"/>
      <c r="M148" s="11"/>
    </row>
    <row r="149" customFormat="false" ht="23.85" hidden="false" customHeight="false" outlineLevel="0" collapsed="false">
      <c r="A149" s="12" t="s">
        <v>853</v>
      </c>
      <c r="B149" s="12" t="s">
        <v>830</v>
      </c>
      <c r="C149" s="12" t="s">
        <v>831</v>
      </c>
      <c r="D149" s="12" t="s">
        <v>854</v>
      </c>
      <c r="E149" s="12" t="s">
        <v>855</v>
      </c>
      <c r="F149" s="12" t="s">
        <v>856</v>
      </c>
      <c r="G149" s="12" t="s">
        <v>142</v>
      </c>
      <c r="H149" s="12" t="s">
        <v>857</v>
      </c>
      <c r="I149" s="12" t="s">
        <v>135</v>
      </c>
      <c r="J149" s="12" t="s">
        <v>273</v>
      </c>
      <c r="K149" s="12" t="s">
        <v>137</v>
      </c>
      <c r="L149" s="12"/>
      <c r="M149" s="12"/>
    </row>
    <row r="150" customFormat="false" ht="23.85" hidden="false" customHeight="false" outlineLevel="0" collapsed="false">
      <c r="A150" s="11" t="s">
        <v>858</v>
      </c>
      <c r="B150" s="11" t="s">
        <v>830</v>
      </c>
      <c r="C150" s="11" t="s">
        <v>831</v>
      </c>
      <c r="D150" s="11" t="s">
        <v>859</v>
      </c>
      <c r="E150" s="11" t="s">
        <v>417</v>
      </c>
      <c r="F150" s="11" t="s">
        <v>860</v>
      </c>
      <c r="G150" s="11" t="s">
        <v>142</v>
      </c>
      <c r="H150" s="11" t="s">
        <v>861</v>
      </c>
      <c r="I150" s="11" t="s">
        <v>144</v>
      </c>
      <c r="J150" s="11" t="s">
        <v>273</v>
      </c>
      <c r="K150" s="11" t="s">
        <v>137</v>
      </c>
      <c r="L150" s="11"/>
      <c r="M150" s="11"/>
    </row>
    <row r="151" customFormat="false" ht="23.85" hidden="false" customHeight="false" outlineLevel="0" collapsed="false">
      <c r="A151" s="12" t="s">
        <v>862</v>
      </c>
      <c r="B151" s="12" t="s">
        <v>830</v>
      </c>
      <c r="C151" s="12" t="s">
        <v>831</v>
      </c>
      <c r="D151" s="12" t="s">
        <v>863</v>
      </c>
      <c r="E151" s="12" t="s">
        <v>864</v>
      </c>
      <c r="F151" s="12" t="s">
        <v>865</v>
      </c>
      <c r="G151" s="12" t="s">
        <v>142</v>
      </c>
      <c r="H151" s="12" t="s">
        <v>866</v>
      </c>
      <c r="I151" s="12" t="s">
        <v>135</v>
      </c>
      <c r="J151" s="12" t="s">
        <v>273</v>
      </c>
      <c r="K151" s="12" t="s">
        <v>137</v>
      </c>
      <c r="L151" s="12"/>
      <c r="M151" s="12"/>
    </row>
    <row r="152" customFormat="false" ht="15" hidden="false" customHeight="false" outlineLevel="0" collapsed="false">
      <c r="A152" s="11" t="s">
        <v>867</v>
      </c>
      <c r="B152" s="11" t="s">
        <v>830</v>
      </c>
      <c r="C152" s="11" t="s">
        <v>831</v>
      </c>
      <c r="D152" s="11" t="s">
        <v>868</v>
      </c>
      <c r="E152" s="11" t="s">
        <v>869</v>
      </c>
      <c r="F152" s="11" t="s">
        <v>870</v>
      </c>
      <c r="G152" s="11" t="s">
        <v>142</v>
      </c>
      <c r="H152" s="11" t="s">
        <v>871</v>
      </c>
      <c r="I152" s="11" t="s">
        <v>734</v>
      </c>
      <c r="J152" s="11" t="s">
        <v>273</v>
      </c>
      <c r="K152" s="11" t="s">
        <v>137</v>
      </c>
      <c r="L152" s="11"/>
      <c r="M152" s="11"/>
    </row>
    <row r="153" customFormat="false" ht="23.85" hidden="false" customHeight="false" outlineLevel="0" collapsed="false">
      <c r="A153" s="12" t="s">
        <v>872</v>
      </c>
      <c r="B153" s="12" t="s">
        <v>830</v>
      </c>
      <c r="C153" s="12" t="s">
        <v>831</v>
      </c>
      <c r="D153" s="12" t="s">
        <v>873</v>
      </c>
      <c r="E153" s="12" t="s">
        <v>874</v>
      </c>
      <c r="F153" s="12" t="s">
        <v>875</v>
      </c>
      <c r="G153" s="12" t="s">
        <v>142</v>
      </c>
      <c r="H153" s="12" t="s">
        <v>876</v>
      </c>
      <c r="I153" s="12" t="s">
        <v>144</v>
      </c>
      <c r="J153" s="12" t="s">
        <v>273</v>
      </c>
      <c r="K153" s="12" t="s">
        <v>137</v>
      </c>
      <c r="L153" s="12"/>
      <c r="M153" s="12"/>
    </row>
    <row r="154" customFormat="false" ht="15" hidden="false" customHeight="false" outlineLevel="0" collapsed="false">
      <c r="A154" s="11" t="s">
        <v>877</v>
      </c>
      <c r="B154" s="11" t="s">
        <v>830</v>
      </c>
      <c r="C154" s="11" t="s">
        <v>831</v>
      </c>
      <c r="D154" s="11" t="s">
        <v>878</v>
      </c>
      <c r="E154" s="11" t="s">
        <v>879</v>
      </c>
      <c r="F154" s="11" t="s">
        <v>875</v>
      </c>
      <c r="G154" s="11" t="s">
        <v>880</v>
      </c>
      <c r="H154" s="11" t="s">
        <v>881</v>
      </c>
      <c r="I154" s="11" t="s">
        <v>144</v>
      </c>
      <c r="J154" s="11" t="s">
        <v>273</v>
      </c>
      <c r="K154" s="11" t="s">
        <v>137</v>
      </c>
      <c r="L154" s="11"/>
      <c r="M154" s="11"/>
    </row>
    <row r="155" customFormat="false" ht="15" hidden="false" customHeight="false" outlineLevel="0" collapsed="false">
      <c r="A155" s="12" t="s">
        <v>882</v>
      </c>
      <c r="B155" s="12" t="s">
        <v>830</v>
      </c>
      <c r="C155" s="12" t="s">
        <v>831</v>
      </c>
      <c r="D155" s="12" t="s">
        <v>883</v>
      </c>
      <c r="E155" s="12" t="s">
        <v>417</v>
      </c>
      <c r="F155" s="12" t="s">
        <v>884</v>
      </c>
      <c r="G155" s="12" t="s">
        <v>142</v>
      </c>
      <c r="H155" s="12" t="s">
        <v>885</v>
      </c>
      <c r="I155" s="12" t="s">
        <v>135</v>
      </c>
      <c r="J155" s="12" t="s">
        <v>273</v>
      </c>
      <c r="K155" s="12" t="s">
        <v>137</v>
      </c>
      <c r="L155" s="12"/>
      <c r="M155" s="12"/>
    </row>
    <row r="156" customFormat="false" ht="15" hidden="false" customHeight="false" outlineLevel="0" collapsed="false">
      <c r="A156" s="11" t="s">
        <v>886</v>
      </c>
      <c r="B156" s="11" t="s">
        <v>830</v>
      </c>
      <c r="C156" s="11" t="s">
        <v>831</v>
      </c>
      <c r="D156" s="11" t="s">
        <v>887</v>
      </c>
      <c r="E156" s="11" t="s">
        <v>417</v>
      </c>
      <c r="F156" s="11" t="s">
        <v>888</v>
      </c>
      <c r="G156" s="11" t="s">
        <v>142</v>
      </c>
      <c r="H156" s="11" t="s">
        <v>889</v>
      </c>
      <c r="I156" s="11" t="s">
        <v>135</v>
      </c>
      <c r="J156" s="11" t="s">
        <v>273</v>
      </c>
      <c r="K156" s="11" t="s">
        <v>137</v>
      </c>
      <c r="L156" s="11"/>
      <c r="M156" s="11"/>
    </row>
    <row r="157" customFormat="false" ht="15" hidden="false" customHeight="false" outlineLevel="0" collapsed="false">
      <c r="A157" s="12" t="s">
        <v>890</v>
      </c>
      <c r="B157" s="12" t="s">
        <v>830</v>
      </c>
      <c r="C157" s="12" t="s">
        <v>831</v>
      </c>
      <c r="D157" s="12" t="s">
        <v>891</v>
      </c>
      <c r="E157" s="12" t="s">
        <v>417</v>
      </c>
      <c r="F157" s="12" t="s">
        <v>892</v>
      </c>
      <c r="G157" s="12" t="s">
        <v>142</v>
      </c>
      <c r="H157" s="12" t="s">
        <v>893</v>
      </c>
      <c r="I157" s="12" t="s">
        <v>135</v>
      </c>
      <c r="J157" s="12" t="s">
        <v>273</v>
      </c>
      <c r="K157" s="12" t="s">
        <v>137</v>
      </c>
      <c r="L157" s="12"/>
      <c r="M157" s="12"/>
    </row>
    <row r="158" customFormat="false" ht="23.85" hidden="false" customHeight="false" outlineLevel="0" collapsed="false">
      <c r="A158" s="11" t="s">
        <v>894</v>
      </c>
      <c r="B158" s="11" t="s">
        <v>830</v>
      </c>
      <c r="C158" s="11" t="s">
        <v>831</v>
      </c>
      <c r="D158" s="11" t="s">
        <v>895</v>
      </c>
      <c r="E158" s="11" t="s">
        <v>896</v>
      </c>
      <c r="F158" s="11" t="s">
        <v>897</v>
      </c>
      <c r="G158" s="11" t="s">
        <v>898</v>
      </c>
      <c r="H158" s="11" t="s">
        <v>899</v>
      </c>
      <c r="I158" s="11" t="s">
        <v>144</v>
      </c>
      <c r="J158" s="11" t="s">
        <v>273</v>
      </c>
      <c r="K158" s="11" t="s">
        <v>137</v>
      </c>
      <c r="L158" s="11"/>
      <c r="M158" s="11"/>
    </row>
    <row r="159" customFormat="false" ht="15" hidden="false" customHeight="false" outlineLevel="0" collapsed="false">
      <c r="A159" s="12" t="s">
        <v>900</v>
      </c>
      <c r="B159" s="12" t="s">
        <v>830</v>
      </c>
      <c r="C159" s="12" t="s">
        <v>831</v>
      </c>
      <c r="D159" s="12" t="s">
        <v>901</v>
      </c>
      <c r="E159" s="12" t="s">
        <v>902</v>
      </c>
      <c r="F159" s="12" t="s">
        <v>903</v>
      </c>
      <c r="G159" s="12" t="s">
        <v>142</v>
      </c>
      <c r="H159" s="12" t="s">
        <v>904</v>
      </c>
      <c r="I159" s="12" t="s">
        <v>135</v>
      </c>
      <c r="J159" s="12" t="s">
        <v>273</v>
      </c>
      <c r="K159" s="12" t="s">
        <v>137</v>
      </c>
      <c r="L159" s="12"/>
      <c r="M159" s="12"/>
    </row>
    <row r="160" customFormat="false" ht="15" hidden="false" customHeight="false" outlineLevel="0" collapsed="false">
      <c r="A160" s="11" t="s">
        <v>905</v>
      </c>
      <c r="B160" s="11" t="s">
        <v>830</v>
      </c>
      <c r="C160" s="11" t="s">
        <v>831</v>
      </c>
      <c r="D160" s="11" t="s">
        <v>906</v>
      </c>
      <c r="E160" s="11" t="s">
        <v>417</v>
      </c>
      <c r="F160" s="11" t="s">
        <v>907</v>
      </c>
      <c r="G160" s="11" t="s">
        <v>142</v>
      </c>
      <c r="H160" s="11" t="s">
        <v>908</v>
      </c>
      <c r="I160" s="11" t="s">
        <v>144</v>
      </c>
      <c r="J160" s="11" t="s">
        <v>136</v>
      </c>
      <c r="K160" s="11" t="s">
        <v>137</v>
      </c>
      <c r="L160" s="11"/>
      <c r="M160" s="11"/>
    </row>
    <row r="161" customFormat="false" ht="15" hidden="false" customHeight="false" outlineLevel="0" collapsed="false">
      <c r="A161" s="12" t="s">
        <v>909</v>
      </c>
      <c r="B161" s="12" t="s">
        <v>830</v>
      </c>
      <c r="C161" s="12" t="s">
        <v>831</v>
      </c>
      <c r="D161" s="12" t="s">
        <v>910</v>
      </c>
      <c r="E161" s="12" t="s">
        <v>911</v>
      </c>
      <c r="F161" s="12" t="s">
        <v>912</v>
      </c>
      <c r="G161" s="12" t="s">
        <v>142</v>
      </c>
      <c r="H161" s="12" t="s">
        <v>913</v>
      </c>
      <c r="I161" s="12" t="s">
        <v>144</v>
      </c>
      <c r="J161" s="12" t="s">
        <v>136</v>
      </c>
      <c r="K161" s="12" t="s">
        <v>137</v>
      </c>
      <c r="L161" s="12"/>
      <c r="M161" s="12"/>
    </row>
    <row r="162" customFormat="false" ht="15" hidden="false" customHeight="false" outlineLevel="0" collapsed="false">
      <c r="A162" s="11" t="s">
        <v>914</v>
      </c>
      <c r="B162" s="11" t="s">
        <v>830</v>
      </c>
      <c r="C162" s="11" t="s">
        <v>831</v>
      </c>
      <c r="D162" s="11" t="s">
        <v>915</v>
      </c>
      <c r="E162" s="11" t="s">
        <v>916</v>
      </c>
      <c r="F162" s="11" t="s">
        <v>560</v>
      </c>
      <c r="G162" s="11" t="s">
        <v>142</v>
      </c>
      <c r="H162" s="11" t="s">
        <v>917</v>
      </c>
      <c r="I162" s="11" t="s">
        <v>135</v>
      </c>
      <c r="J162" s="11" t="s">
        <v>136</v>
      </c>
      <c r="K162" s="11" t="s">
        <v>137</v>
      </c>
      <c r="L162" s="11"/>
      <c r="M162" s="11"/>
    </row>
    <row r="163" customFormat="false" ht="23.85" hidden="false" customHeight="false" outlineLevel="0" collapsed="false">
      <c r="A163" s="12" t="s">
        <v>918</v>
      </c>
      <c r="B163" s="12" t="s">
        <v>919</v>
      </c>
      <c r="C163" s="12" t="s">
        <v>920</v>
      </c>
      <c r="D163" s="12" t="s">
        <v>921</v>
      </c>
      <c r="E163" s="12" t="s">
        <v>922</v>
      </c>
      <c r="F163" s="12" t="s">
        <v>923</v>
      </c>
      <c r="G163" s="12" t="s">
        <v>142</v>
      </c>
      <c r="H163" s="12" t="s">
        <v>924</v>
      </c>
      <c r="I163" s="12" t="s">
        <v>135</v>
      </c>
      <c r="J163" s="12" t="s">
        <v>136</v>
      </c>
      <c r="K163" s="12" t="s">
        <v>137</v>
      </c>
      <c r="L163" s="12"/>
      <c r="M163" s="12"/>
    </row>
    <row r="164" customFormat="false" ht="15" hidden="false" customHeight="false" outlineLevel="0" collapsed="false">
      <c r="A164" s="11" t="s">
        <v>925</v>
      </c>
      <c r="B164" s="11" t="s">
        <v>919</v>
      </c>
      <c r="C164" s="11" t="s">
        <v>920</v>
      </c>
      <c r="D164" s="11" t="s">
        <v>926</v>
      </c>
      <c r="E164" s="11" t="s">
        <v>582</v>
      </c>
      <c r="F164" s="11" t="s">
        <v>927</v>
      </c>
      <c r="G164" s="11" t="s">
        <v>142</v>
      </c>
      <c r="H164" s="11" t="s">
        <v>584</v>
      </c>
      <c r="I164" s="11" t="s">
        <v>135</v>
      </c>
      <c r="J164" s="11" t="s">
        <v>136</v>
      </c>
      <c r="K164" s="11" t="s">
        <v>137</v>
      </c>
      <c r="L164" s="11"/>
      <c r="M164" s="11"/>
    </row>
    <row r="165" customFormat="false" ht="15" hidden="false" customHeight="false" outlineLevel="0" collapsed="false">
      <c r="A165" s="12" t="s">
        <v>928</v>
      </c>
      <c r="B165" s="12" t="s">
        <v>919</v>
      </c>
      <c r="C165" s="12" t="s">
        <v>920</v>
      </c>
      <c r="D165" s="12" t="s">
        <v>929</v>
      </c>
      <c r="E165" s="12" t="s">
        <v>930</v>
      </c>
      <c r="F165" s="12" t="s">
        <v>931</v>
      </c>
      <c r="G165" s="12" t="s">
        <v>142</v>
      </c>
      <c r="H165" s="12" t="s">
        <v>932</v>
      </c>
      <c r="I165" s="12" t="s">
        <v>144</v>
      </c>
      <c r="J165" s="12" t="s">
        <v>136</v>
      </c>
      <c r="K165" s="12" t="s">
        <v>137</v>
      </c>
      <c r="L165" s="12"/>
      <c r="M165" s="12"/>
    </row>
    <row r="166" customFormat="false" ht="15" hidden="false" customHeight="false" outlineLevel="0" collapsed="false">
      <c r="A166" s="11" t="s">
        <v>933</v>
      </c>
      <c r="B166" s="11" t="s">
        <v>919</v>
      </c>
      <c r="C166" s="11" t="s">
        <v>920</v>
      </c>
      <c r="D166" s="11" t="s">
        <v>934</v>
      </c>
      <c r="E166" s="11" t="s">
        <v>930</v>
      </c>
      <c r="F166" s="11" t="s">
        <v>935</v>
      </c>
      <c r="G166" s="11" t="s">
        <v>142</v>
      </c>
      <c r="H166" s="11" t="s">
        <v>475</v>
      </c>
      <c r="I166" s="11" t="s">
        <v>144</v>
      </c>
      <c r="J166" s="11" t="s">
        <v>136</v>
      </c>
      <c r="K166" s="11" t="s">
        <v>137</v>
      </c>
      <c r="L166" s="11"/>
      <c r="M166" s="11"/>
    </row>
    <row r="167" customFormat="false" ht="15" hidden="false" customHeight="false" outlineLevel="0" collapsed="false">
      <c r="A167" s="12" t="s">
        <v>936</v>
      </c>
      <c r="B167" s="12" t="s">
        <v>919</v>
      </c>
      <c r="C167" s="12" t="s">
        <v>920</v>
      </c>
      <c r="D167" s="12" t="s">
        <v>937</v>
      </c>
      <c r="E167" s="12" t="s">
        <v>938</v>
      </c>
      <c r="F167" s="12" t="s">
        <v>939</v>
      </c>
      <c r="G167" s="12" t="s">
        <v>142</v>
      </c>
      <c r="H167" s="12" t="s">
        <v>940</v>
      </c>
      <c r="I167" s="12" t="s">
        <v>135</v>
      </c>
      <c r="J167" s="12" t="s">
        <v>136</v>
      </c>
      <c r="K167" s="12" t="s">
        <v>137</v>
      </c>
      <c r="L167" s="12"/>
      <c r="M167" s="12"/>
    </row>
    <row r="168" customFormat="false" ht="15" hidden="false" customHeight="false" outlineLevel="0" collapsed="false">
      <c r="A168" s="11" t="s">
        <v>941</v>
      </c>
      <c r="B168" s="11" t="s">
        <v>919</v>
      </c>
      <c r="C168" s="11" t="s">
        <v>920</v>
      </c>
      <c r="D168" s="11" t="s">
        <v>942</v>
      </c>
      <c r="E168" s="11" t="s">
        <v>938</v>
      </c>
      <c r="F168" s="11" t="s">
        <v>943</v>
      </c>
      <c r="G168" s="11" t="s">
        <v>142</v>
      </c>
      <c r="H168" s="11" t="s">
        <v>944</v>
      </c>
      <c r="I168" s="11" t="s">
        <v>135</v>
      </c>
      <c r="J168" s="11" t="s">
        <v>136</v>
      </c>
      <c r="K168" s="11" t="s">
        <v>137</v>
      </c>
      <c r="L168" s="11"/>
      <c r="M168" s="11"/>
    </row>
    <row r="169" customFormat="false" ht="23.85" hidden="false" customHeight="false" outlineLevel="0" collapsed="false">
      <c r="A169" s="12" t="s">
        <v>945</v>
      </c>
      <c r="B169" s="12" t="s">
        <v>919</v>
      </c>
      <c r="C169" s="12" t="s">
        <v>920</v>
      </c>
      <c r="D169" s="12" t="s">
        <v>946</v>
      </c>
      <c r="E169" s="12" t="s">
        <v>930</v>
      </c>
      <c r="F169" s="12" t="s">
        <v>947</v>
      </c>
      <c r="G169" s="12" t="s">
        <v>142</v>
      </c>
      <c r="H169" s="12" t="s">
        <v>948</v>
      </c>
      <c r="I169" s="12" t="s">
        <v>144</v>
      </c>
      <c r="J169" s="12" t="s">
        <v>136</v>
      </c>
      <c r="K169" s="12" t="s">
        <v>137</v>
      </c>
      <c r="L169" s="12"/>
      <c r="M169" s="12"/>
    </row>
    <row r="170" customFormat="false" ht="15" hidden="false" customHeight="false" outlineLevel="0" collapsed="false">
      <c r="A170" s="11" t="s">
        <v>949</v>
      </c>
      <c r="B170" s="11" t="s">
        <v>919</v>
      </c>
      <c r="C170" s="11" t="s">
        <v>920</v>
      </c>
      <c r="D170" s="11" t="s">
        <v>950</v>
      </c>
      <c r="E170" s="11" t="s">
        <v>951</v>
      </c>
      <c r="F170" s="11" t="s">
        <v>952</v>
      </c>
      <c r="G170" s="11" t="s">
        <v>142</v>
      </c>
      <c r="H170" s="11" t="s">
        <v>475</v>
      </c>
      <c r="I170" s="11" t="s">
        <v>172</v>
      </c>
      <c r="J170" s="11" t="s">
        <v>136</v>
      </c>
      <c r="K170" s="11" t="s">
        <v>137</v>
      </c>
      <c r="L170" s="11"/>
      <c r="M170" s="11"/>
    </row>
    <row r="171" customFormat="false" ht="15" hidden="false" customHeight="false" outlineLevel="0" collapsed="false">
      <c r="A171" s="12" t="s">
        <v>953</v>
      </c>
      <c r="B171" s="12" t="s">
        <v>919</v>
      </c>
      <c r="C171" s="12" t="s">
        <v>920</v>
      </c>
      <c r="D171" s="12" t="s">
        <v>954</v>
      </c>
      <c r="E171" s="12" t="s">
        <v>399</v>
      </c>
      <c r="F171" s="12" t="s">
        <v>955</v>
      </c>
      <c r="G171" s="12" t="s">
        <v>142</v>
      </c>
      <c r="H171" s="12" t="s">
        <v>509</v>
      </c>
      <c r="I171" s="12" t="s">
        <v>144</v>
      </c>
      <c r="J171" s="12" t="s">
        <v>136</v>
      </c>
      <c r="K171" s="12" t="s">
        <v>137</v>
      </c>
      <c r="L171" s="12"/>
      <c r="M171" s="12"/>
    </row>
    <row r="172" customFormat="false" ht="15" hidden="false" customHeight="false" outlineLevel="0" collapsed="false">
      <c r="A172" s="11" t="s">
        <v>956</v>
      </c>
      <c r="B172" s="11" t="s">
        <v>919</v>
      </c>
      <c r="C172" s="11" t="s">
        <v>920</v>
      </c>
      <c r="D172" s="11" t="s">
        <v>957</v>
      </c>
      <c r="E172" s="11" t="s">
        <v>417</v>
      </c>
      <c r="F172" s="11" t="s">
        <v>958</v>
      </c>
      <c r="G172" s="11" t="s">
        <v>142</v>
      </c>
      <c r="H172" s="11" t="s">
        <v>959</v>
      </c>
      <c r="I172" s="11" t="s">
        <v>135</v>
      </c>
      <c r="J172" s="11" t="s">
        <v>136</v>
      </c>
      <c r="K172" s="11" t="s">
        <v>137</v>
      </c>
      <c r="L172" s="11"/>
      <c r="M172" s="11"/>
    </row>
    <row r="173" customFormat="false" ht="15" hidden="false" customHeight="false" outlineLevel="0" collapsed="false">
      <c r="A173" s="12" t="s">
        <v>960</v>
      </c>
      <c r="B173" s="12" t="s">
        <v>919</v>
      </c>
      <c r="C173" s="12" t="s">
        <v>920</v>
      </c>
      <c r="D173" s="12" t="s">
        <v>961</v>
      </c>
      <c r="E173" s="12" t="s">
        <v>962</v>
      </c>
      <c r="F173" s="12" t="s">
        <v>560</v>
      </c>
      <c r="G173" s="12" t="s">
        <v>142</v>
      </c>
      <c r="H173" s="12" t="s">
        <v>963</v>
      </c>
      <c r="I173" s="12" t="s">
        <v>135</v>
      </c>
      <c r="J173" s="12" t="s">
        <v>136</v>
      </c>
      <c r="K173" s="12" t="s">
        <v>137</v>
      </c>
      <c r="L173" s="12"/>
      <c r="M173" s="12"/>
    </row>
    <row r="174" customFormat="false" ht="23.85" hidden="false" customHeight="false" outlineLevel="0" collapsed="false">
      <c r="A174" s="11" t="s">
        <v>964</v>
      </c>
      <c r="B174" s="11" t="s">
        <v>965</v>
      </c>
      <c r="C174" s="11" t="s">
        <v>966</v>
      </c>
      <c r="D174" s="11" t="s">
        <v>967</v>
      </c>
      <c r="E174" s="11" t="s">
        <v>968</v>
      </c>
      <c r="F174" s="11" t="s">
        <v>969</v>
      </c>
      <c r="G174" s="11" t="s">
        <v>142</v>
      </c>
      <c r="H174" s="11" t="s">
        <v>970</v>
      </c>
      <c r="I174" s="11" t="s">
        <v>135</v>
      </c>
      <c r="J174" s="11" t="s">
        <v>136</v>
      </c>
      <c r="K174" s="11" t="s">
        <v>137</v>
      </c>
      <c r="L174" s="11"/>
      <c r="M174" s="11"/>
    </row>
    <row r="175" customFormat="false" ht="15" hidden="false" customHeight="false" outlineLevel="0" collapsed="false">
      <c r="A175" s="12" t="s">
        <v>971</v>
      </c>
      <c r="B175" s="12" t="s">
        <v>965</v>
      </c>
      <c r="C175" s="12" t="s">
        <v>966</v>
      </c>
      <c r="D175" s="12" t="s">
        <v>972</v>
      </c>
      <c r="E175" s="12" t="s">
        <v>973</v>
      </c>
      <c r="F175" s="12" t="s">
        <v>560</v>
      </c>
      <c r="G175" s="12" t="s">
        <v>142</v>
      </c>
      <c r="H175" s="12" t="s">
        <v>974</v>
      </c>
      <c r="I175" s="12" t="s">
        <v>135</v>
      </c>
      <c r="J175" s="12" t="s">
        <v>136</v>
      </c>
      <c r="K175" s="12" t="s">
        <v>137</v>
      </c>
      <c r="L175" s="12"/>
      <c r="M175" s="12"/>
    </row>
    <row r="176" customFormat="false" ht="15" hidden="false" customHeight="false" outlineLevel="0" collapsed="false">
      <c r="A176" s="11" t="s">
        <v>975</v>
      </c>
      <c r="B176" s="11" t="s">
        <v>976</v>
      </c>
      <c r="C176" s="11" t="s">
        <v>68</v>
      </c>
      <c r="D176" s="11" t="s">
        <v>977</v>
      </c>
      <c r="E176" s="11" t="s">
        <v>582</v>
      </c>
      <c r="F176" s="11" t="s">
        <v>978</v>
      </c>
      <c r="G176" s="11" t="s">
        <v>142</v>
      </c>
      <c r="H176" s="11" t="s">
        <v>979</v>
      </c>
      <c r="I176" s="11" t="s">
        <v>135</v>
      </c>
      <c r="J176" s="11" t="s">
        <v>136</v>
      </c>
      <c r="K176" s="11" t="s">
        <v>137</v>
      </c>
      <c r="L176" s="11"/>
      <c r="M176" s="11"/>
    </row>
    <row r="177" customFormat="false" ht="15" hidden="false" customHeight="false" outlineLevel="0" collapsed="false">
      <c r="A177" s="12" t="s">
        <v>980</v>
      </c>
      <c r="B177" s="12" t="s">
        <v>976</v>
      </c>
      <c r="C177" s="12" t="s">
        <v>68</v>
      </c>
      <c r="D177" s="12" t="s">
        <v>981</v>
      </c>
      <c r="E177" s="12" t="s">
        <v>982</v>
      </c>
      <c r="F177" s="12" t="s">
        <v>983</v>
      </c>
      <c r="G177" s="12" t="s">
        <v>142</v>
      </c>
      <c r="H177" s="12" t="s">
        <v>984</v>
      </c>
      <c r="I177" s="12" t="s">
        <v>135</v>
      </c>
      <c r="J177" s="12" t="s">
        <v>136</v>
      </c>
      <c r="K177" s="12" t="s">
        <v>137</v>
      </c>
      <c r="L177" s="12"/>
      <c r="M177" s="12"/>
    </row>
    <row r="178" customFormat="false" ht="23.85" hidden="false" customHeight="false" outlineLevel="0" collapsed="false">
      <c r="A178" s="11" t="s">
        <v>985</v>
      </c>
      <c r="B178" s="11" t="s">
        <v>976</v>
      </c>
      <c r="C178" s="11" t="s">
        <v>68</v>
      </c>
      <c r="D178" s="11" t="s">
        <v>986</v>
      </c>
      <c r="E178" s="11" t="s">
        <v>987</v>
      </c>
      <c r="F178" s="11" t="s">
        <v>983</v>
      </c>
      <c r="G178" s="11" t="s">
        <v>142</v>
      </c>
      <c r="H178" s="11" t="s">
        <v>988</v>
      </c>
      <c r="I178" s="11" t="s">
        <v>135</v>
      </c>
      <c r="J178" s="11" t="s">
        <v>136</v>
      </c>
      <c r="K178" s="11" t="s">
        <v>137</v>
      </c>
      <c r="L178" s="11"/>
      <c r="M178" s="11"/>
    </row>
    <row r="179" customFormat="false" ht="23.85" hidden="false" customHeight="false" outlineLevel="0" collapsed="false">
      <c r="A179" s="12" t="s">
        <v>989</v>
      </c>
      <c r="B179" s="12" t="s">
        <v>976</v>
      </c>
      <c r="C179" s="12" t="s">
        <v>68</v>
      </c>
      <c r="D179" s="12" t="s">
        <v>990</v>
      </c>
      <c r="E179" s="12" t="s">
        <v>991</v>
      </c>
      <c r="F179" s="12" t="s">
        <v>983</v>
      </c>
      <c r="G179" s="12" t="s">
        <v>142</v>
      </c>
      <c r="H179" s="12" t="s">
        <v>992</v>
      </c>
      <c r="I179" s="12" t="s">
        <v>135</v>
      </c>
      <c r="J179" s="12" t="s">
        <v>136</v>
      </c>
      <c r="K179" s="12" t="s">
        <v>137</v>
      </c>
      <c r="L179" s="12"/>
      <c r="M179" s="12"/>
    </row>
    <row r="180" customFormat="false" ht="15" hidden="false" customHeight="false" outlineLevel="0" collapsed="false">
      <c r="A180" s="11" t="s">
        <v>993</v>
      </c>
      <c r="B180" s="11" t="s">
        <v>994</v>
      </c>
      <c r="C180" s="11" t="s">
        <v>995</v>
      </c>
      <c r="D180" s="11" t="s">
        <v>996</v>
      </c>
      <c r="E180" s="11" t="s">
        <v>922</v>
      </c>
      <c r="F180" s="11" t="s">
        <v>997</v>
      </c>
      <c r="G180" s="11" t="s">
        <v>998</v>
      </c>
      <c r="H180" s="11" t="s">
        <v>999</v>
      </c>
      <c r="I180" s="11" t="s">
        <v>144</v>
      </c>
      <c r="J180" s="11" t="s">
        <v>136</v>
      </c>
      <c r="K180" s="11" t="s">
        <v>137</v>
      </c>
      <c r="L180" s="11"/>
      <c r="M180" s="11"/>
    </row>
    <row r="181" customFormat="false" ht="15" hidden="false" customHeight="false" outlineLevel="0" collapsed="false">
      <c r="A181" s="12" t="s">
        <v>1000</v>
      </c>
      <c r="B181" s="12" t="s">
        <v>994</v>
      </c>
      <c r="C181" s="12" t="s">
        <v>995</v>
      </c>
      <c r="D181" s="12" t="s">
        <v>1001</v>
      </c>
      <c r="E181" s="12" t="s">
        <v>922</v>
      </c>
      <c r="F181" s="12" t="s">
        <v>1002</v>
      </c>
      <c r="G181" s="12" t="s">
        <v>998</v>
      </c>
      <c r="H181" s="12" t="s">
        <v>999</v>
      </c>
      <c r="I181" s="12" t="s">
        <v>144</v>
      </c>
      <c r="J181" s="12" t="s">
        <v>136</v>
      </c>
      <c r="K181" s="12" t="s">
        <v>137</v>
      </c>
      <c r="L181" s="12"/>
      <c r="M181" s="12"/>
    </row>
    <row r="182" customFormat="false" ht="15" hidden="false" customHeight="false" outlineLevel="0" collapsed="false">
      <c r="A182" s="11" t="s">
        <v>1003</v>
      </c>
      <c r="B182" s="11" t="s">
        <v>994</v>
      </c>
      <c r="C182" s="11" t="s">
        <v>995</v>
      </c>
      <c r="D182" s="11" t="s">
        <v>1004</v>
      </c>
      <c r="E182" s="11" t="s">
        <v>1005</v>
      </c>
      <c r="F182" s="11" t="s">
        <v>1006</v>
      </c>
      <c r="G182" s="11" t="s">
        <v>998</v>
      </c>
      <c r="H182" s="11" t="s">
        <v>1007</v>
      </c>
      <c r="I182" s="11" t="s">
        <v>144</v>
      </c>
      <c r="J182" s="11" t="s">
        <v>136</v>
      </c>
      <c r="K182" s="11" t="s">
        <v>137</v>
      </c>
      <c r="L182" s="11"/>
      <c r="M182" s="11"/>
    </row>
    <row r="183" customFormat="false" ht="15" hidden="false" customHeight="false" outlineLevel="0" collapsed="false">
      <c r="A183" s="12" t="s">
        <v>1008</v>
      </c>
      <c r="B183" s="12" t="s">
        <v>994</v>
      </c>
      <c r="C183" s="12" t="s">
        <v>995</v>
      </c>
      <c r="D183" s="12" t="s">
        <v>1009</v>
      </c>
      <c r="E183" s="12" t="s">
        <v>1005</v>
      </c>
      <c r="F183" s="12" t="s">
        <v>1010</v>
      </c>
      <c r="G183" s="12" t="s">
        <v>998</v>
      </c>
      <c r="H183" s="12" t="s">
        <v>1011</v>
      </c>
      <c r="I183" s="12" t="s">
        <v>144</v>
      </c>
      <c r="J183" s="12" t="s">
        <v>136</v>
      </c>
      <c r="K183" s="12" t="s">
        <v>137</v>
      </c>
      <c r="L183" s="12"/>
      <c r="M183" s="12"/>
    </row>
    <row r="184" customFormat="false" ht="15" hidden="false" customHeight="false" outlineLevel="0" collapsed="false">
      <c r="A184" s="11" t="s">
        <v>1012</v>
      </c>
      <c r="B184" s="11" t="s">
        <v>994</v>
      </c>
      <c r="C184" s="11" t="s">
        <v>995</v>
      </c>
      <c r="D184" s="11" t="s">
        <v>1013</v>
      </c>
      <c r="E184" s="11" t="s">
        <v>417</v>
      </c>
      <c r="F184" s="11" t="s">
        <v>1014</v>
      </c>
      <c r="G184" s="11" t="s">
        <v>142</v>
      </c>
      <c r="H184" s="11" t="s">
        <v>1015</v>
      </c>
      <c r="I184" s="11" t="s">
        <v>144</v>
      </c>
      <c r="J184" s="11" t="s">
        <v>136</v>
      </c>
      <c r="K184" s="11" t="s">
        <v>137</v>
      </c>
      <c r="L184" s="11"/>
      <c r="M184" s="11"/>
    </row>
    <row r="185" customFormat="false" ht="15" hidden="false" customHeight="false" outlineLevel="0" collapsed="false">
      <c r="A185" s="12" t="s">
        <v>1016</v>
      </c>
      <c r="B185" s="12" t="s">
        <v>994</v>
      </c>
      <c r="C185" s="12" t="s">
        <v>995</v>
      </c>
      <c r="D185" s="12" t="s">
        <v>1017</v>
      </c>
      <c r="E185" s="12" t="s">
        <v>1018</v>
      </c>
      <c r="F185" s="12" t="s">
        <v>1019</v>
      </c>
      <c r="G185" s="12" t="s">
        <v>142</v>
      </c>
      <c r="H185" s="12" t="s">
        <v>1020</v>
      </c>
      <c r="I185" s="12" t="s">
        <v>734</v>
      </c>
      <c r="J185" s="12" t="s">
        <v>136</v>
      </c>
      <c r="K185" s="12" t="s">
        <v>137</v>
      </c>
      <c r="L185" s="12"/>
      <c r="M185" s="12"/>
    </row>
    <row r="186" customFormat="false" ht="23.85" hidden="false" customHeight="false" outlineLevel="0" collapsed="false">
      <c r="A186" s="11" t="s">
        <v>1021</v>
      </c>
      <c r="B186" s="11" t="s">
        <v>994</v>
      </c>
      <c r="C186" s="11" t="s">
        <v>995</v>
      </c>
      <c r="D186" s="11" t="s">
        <v>1022</v>
      </c>
      <c r="E186" s="11" t="s">
        <v>1018</v>
      </c>
      <c r="F186" s="11" t="s">
        <v>1023</v>
      </c>
      <c r="G186" s="11" t="s">
        <v>1024</v>
      </c>
      <c r="H186" s="11" t="s">
        <v>1025</v>
      </c>
      <c r="I186" s="11" t="s">
        <v>135</v>
      </c>
      <c r="J186" s="11" t="s">
        <v>136</v>
      </c>
      <c r="K186" s="11" t="s">
        <v>137</v>
      </c>
      <c r="L186" s="11"/>
      <c r="M186" s="11"/>
    </row>
    <row r="187" customFormat="false" ht="15" hidden="false" customHeight="false" outlineLevel="0" collapsed="false">
      <c r="A187" s="12" t="s">
        <v>1026</v>
      </c>
      <c r="B187" s="12" t="s">
        <v>994</v>
      </c>
      <c r="C187" s="12" t="s">
        <v>995</v>
      </c>
      <c r="D187" s="12" t="s">
        <v>1027</v>
      </c>
      <c r="E187" s="12" t="s">
        <v>1028</v>
      </c>
      <c r="F187" s="12" t="s">
        <v>374</v>
      </c>
      <c r="G187" s="12" t="s">
        <v>142</v>
      </c>
      <c r="H187" s="12" t="s">
        <v>1029</v>
      </c>
      <c r="I187" s="12" t="s">
        <v>172</v>
      </c>
      <c r="J187" s="12" t="s">
        <v>136</v>
      </c>
      <c r="K187" s="12" t="s">
        <v>137</v>
      </c>
      <c r="L187" s="12"/>
      <c r="M187" s="12"/>
    </row>
    <row r="188" customFormat="false" ht="23.85" hidden="false" customHeight="false" outlineLevel="0" collapsed="false">
      <c r="A188" s="11" t="s">
        <v>1030</v>
      </c>
      <c r="B188" s="11" t="s">
        <v>994</v>
      </c>
      <c r="C188" s="11" t="s">
        <v>995</v>
      </c>
      <c r="D188" s="11" t="s">
        <v>1031</v>
      </c>
      <c r="E188" s="11" t="s">
        <v>1032</v>
      </c>
      <c r="F188" s="11" t="s">
        <v>374</v>
      </c>
      <c r="G188" s="11" t="s">
        <v>1033</v>
      </c>
      <c r="H188" s="11" t="s">
        <v>1034</v>
      </c>
      <c r="I188" s="11" t="s">
        <v>172</v>
      </c>
      <c r="J188" s="11" t="s">
        <v>136</v>
      </c>
      <c r="K188" s="11" t="s">
        <v>137</v>
      </c>
      <c r="L188" s="11"/>
      <c r="M188" s="11"/>
    </row>
    <row r="189" customFormat="false" ht="15" hidden="false" customHeight="false" outlineLevel="0" collapsed="false">
      <c r="A189" s="12" t="s">
        <v>1035</v>
      </c>
      <c r="B189" s="12" t="s">
        <v>994</v>
      </c>
      <c r="C189" s="12" t="s">
        <v>995</v>
      </c>
      <c r="D189" s="12" t="s">
        <v>1036</v>
      </c>
      <c r="E189" s="12" t="s">
        <v>1037</v>
      </c>
      <c r="F189" s="12" t="s">
        <v>374</v>
      </c>
      <c r="G189" s="12" t="s">
        <v>142</v>
      </c>
      <c r="H189" s="12" t="s">
        <v>1038</v>
      </c>
      <c r="I189" s="12" t="s">
        <v>144</v>
      </c>
      <c r="J189" s="12" t="s">
        <v>136</v>
      </c>
      <c r="K189" s="12" t="s">
        <v>137</v>
      </c>
      <c r="L189" s="12"/>
      <c r="M189" s="12"/>
    </row>
    <row r="190" customFormat="false" ht="23.85" hidden="false" customHeight="false" outlineLevel="0" collapsed="false">
      <c r="A190" s="11" t="s">
        <v>1039</v>
      </c>
      <c r="B190" s="11" t="s">
        <v>994</v>
      </c>
      <c r="C190" s="11" t="s">
        <v>995</v>
      </c>
      <c r="D190" s="11" t="s">
        <v>1040</v>
      </c>
      <c r="E190" s="11" t="s">
        <v>1041</v>
      </c>
      <c r="F190" s="11" t="s">
        <v>1042</v>
      </c>
      <c r="G190" s="11" t="s">
        <v>142</v>
      </c>
      <c r="H190" s="11" t="s">
        <v>1043</v>
      </c>
      <c r="I190" s="11" t="s">
        <v>172</v>
      </c>
      <c r="J190" s="11" t="s">
        <v>136</v>
      </c>
      <c r="K190" s="11" t="s">
        <v>137</v>
      </c>
      <c r="L190" s="11"/>
      <c r="M190" s="11"/>
    </row>
    <row r="191" customFormat="false" ht="15" hidden="false" customHeight="false" outlineLevel="0" collapsed="false">
      <c r="A191" s="12" t="s">
        <v>1044</v>
      </c>
      <c r="B191" s="12" t="s">
        <v>994</v>
      </c>
      <c r="C191" s="12" t="s">
        <v>995</v>
      </c>
      <c r="D191" s="12" t="s">
        <v>1045</v>
      </c>
      <c r="E191" s="12" t="s">
        <v>1046</v>
      </c>
      <c r="F191" s="12" t="s">
        <v>1047</v>
      </c>
      <c r="G191" s="12" t="s">
        <v>142</v>
      </c>
      <c r="H191" s="12" t="s">
        <v>1048</v>
      </c>
      <c r="I191" s="12" t="s">
        <v>135</v>
      </c>
      <c r="J191" s="12" t="s">
        <v>136</v>
      </c>
      <c r="K191" s="12" t="s">
        <v>137</v>
      </c>
      <c r="L191" s="12"/>
      <c r="M191" s="12"/>
    </row>
    <row r="192" customFormat="false" ht="23.85" hidden="false" customHeight="false" outlineLevel="0" collapsed="false">
      <c r="A192" s="11" t="s">
        <v>1049</v>
      </c>
      <c r="B192" s="11" t="s">
        <v>994</v>
      </c>
      <c r="C192" s="11" t="s">
        <v>995</v>
      </c>
      <c r="D192" s="11" t="s">
        <v>1050</v>
      </c>
      <c r="E192" s="11" t="s">
        <v>1051</v>
      </c>
      <c r="F192" s="11" t="s">
        <v>1052</v>
      </c>
      <c r="G192" s="11" t="s">
        <v>142</v>
      </c>
      <c r="H192" s="11" t="s">
        <v>1053</v>
      </c>
      <c r="I192" s="11" t="s">
        <v>144</v>
      </c>
      <c r="J192" s="11" t="s">
        <v>136</v>
      </c>
      <c r="K192" s="11" t="s">
        <v>137</v>
      </c>
      <c r="L192" s="11"/>
      <c r="M192" s="11"/>
    </row>
    <row r="193" customFormat="false" ht="23.85" hidden="false" customHeight="false" outlineLevel="0" collapsed="false">
      <c r="A193" s="12" t="s">
        <v>1054</v>
      </c>
      <c r="B193" s="12" t="s">
        <v>994</v>
      </c>
      <c r="C193" s="12" t="s">
        <v>995</v>
      </c>
      <c r="D193" s="12" t="s">
        <v>1055</v>
      </c>
      <c r="E193" s="12" t="s">
        <v>1056</v>
      </c>
      <c r="F193" s="12" t="s">
        <v>1057</v>
      </c>
      <c r="G193" s="12" t="s">
        <v>142</v>
      </c>
      <c r="H193" s="12" t="s">
        <v>380</v>
      </c>
      <c r="I193" s="12" t="s">
        <v>144</v>
      </c>
      <c r="J193" s="12" t="s">
        <v>136</v>
      </c>
      <c r="K193" s="12" t="s">
        <v>137</v>
      </c>
      <c r="L193" s="12"/>
      <c r="M193" s="12"/>
    </row>
    <row r="194" customFormat="false" ht="23.85" hidden="false" customHeight="false" outlineLevel="0" collapsed="false">
      <c r="A194" s="11" t="s">
        <v>1058</v>
      </c>
      <c r="B194" s="11" t="s">
        <v>994</v>
      </c>
      <c r="C194" s="11" t="s">
        <v>995</v>
      </c>
      <c r="D194" s="11" t="s">
        <v>1059</v>
      </c>
      <c r="E194" s="11" t="s">
        <v>1060</v>
      </c>
      <c r="F194" s="11" t="s">
        <v>588</v>
      </c>
      <c r="G194" s="11" t="s">
        <v>142</v>
      </c>
      <c r="H194" s="11" t="s">
        <v>1061</v>
      </c>
      <c r="I194" s="11" t="s">
        <v>135</v>
      </c>
      <c r="J194" s="11" t="s">
        <v>136</v>
      </c>
      <c r="K194" s="11" t="s">
        <v>137</v>
      </c>
      <c r="L194" s="11"/>
      <c r="M194" s="11"/>
    </row>
    <row r="195" customFormat="false" ht="23.85" hidden="false" customHeight="false" outlineLevel="0" collapsed="false">
      <c r="A195" s="12" t="s">
        <v>1062</v>
      </c>
      <c r="B195" s="12" t="s">
        <v>994</v>
      </c>
      <c r="C195" s="12" t="s">
        <v>995</v>
      </c>
      <c r="D195" s="12" t="s">
        <v>1063</v>
      </c>
      <c r="E195" s="12" t="s">
        <v>1064</v>
      </c>
      <c r="F195" s="12" t="s">
        <v>478</v>
      </c>
      <c r="G195" s="12" t="s">
        <v>142</v>
      </c>
      <c r="H195" s="12" t="s">
        <v>1065</v>
      </c>
      <c r="I195" s="12" t="s">
        <v>144</v>
      </c>
      <c r="J195" s="12" t="s">
        <v>136</v>
      </c>
      <c r="K195" s="12" t="s">
        <v>137</v>
      </c>
      <c r="L195" s="12"/>
      <c r="M195" s="12"/>
    </row>
    <row r="196" customFormat="false" ht="23.85" hidden="false" customHeight="false" outlineLevel="0" collapsed="false">
      <c r="A196" s="11" t="s">
        <v>1066</v>
      </c>
      <c r="B196" s="11" t="s">
        <v>994</v>
      </c>
      <c r="C196" s="11" t="s">
        <v>995</v>
      </c>
      <c r="D196" s="11" t="s">
        <v>1067</v>
      </c>
      <c r="E196" s="11" t="s">
        <v>1064</v>
      </c>
      <c r="F196" s="11" t="s">
        <v>1068</v>
      </c>
      <c r="G196" s="11" t="s">
        <v>142</v>
      </c>
      <c r="H196" s="11" t="s">
        <v>1069</v>
      </c>
      <c r="I196" s="11" t="s">
        <v>734</v>
      </c>
      <c r="J196" s="11" t="s">
        <v>136</v>
      </c>
      <c r="K196" s="11" t="s">
        <v>137</v>
      </c>
      <c r="L196" s="11"/>
      <c r="M196" s="11"/>
    </row>
    <row r="197" customFormat="false" ht="35.05" hidden="false" customHeight="false" outlineLevel="0" collapsed="false">
      <c r="A197" s="12" t="s">
        <v>1070</v>
      </c>
      <c r="B197" s="12" t="s">
        <v>994</v>
      </c>
      <c r="C197" s="12" t="s">
        <v>995</v>
      </c>
      <c r="D197" s="12" t="s">
        <v>1071</v>
      </c>
      <c r="E197" s="12" t="s">
        <v>1072</v>
      </c>
      <c r="F197" s="12" t="s">
        <v>1073</v>
      </c>
      <c r="G197" s="12" t="s">
        <v>1074</v>
      </c>
      <c r="H197" s="12" t="s">
        <v>1075</v>
      </c>
      <c r="I197" s="12" t="s">
        <v>135</v>
      </c>
      <c r="J197" s="12" t="s">
        <v>136</v>
      </c>
      <c r="K197" s="12" t="s">
        <v>137</v>
      </c>
      <c r="L197" s="12"/>
      <c r="M197" s="12"/>
    </row>
    <row r="198" customFormat="false" ht="15" hidden="false" customHeight="false" outlineLevel="0" collapsed="false">
      <c r="A198" s="11" t="s">
        <v>1076</v>
      </c>
      <c r="B198" s="11" t="s">
        <v>994</v>
      </c>
      <c r="C198" s="11" t="s">
        <v>995</v>
      </c>
      <c r="D198" s="11" t="s">
        <v>1077</v>
      </c>
      <c r="E198" s="11" t="s">
        <v>1078</v>
      </c>
      <c r="F198" s="11" t="s">
        <v>1079</v>
      </c>
      <c r="G198" s="11" t="s">
        <v>142</v>
      </c>
      <c r="H198" s="11" t="s">
        <v>1080</v>
      </c>
      <c r="I198" s="11" t="s">
        <v>135</v>
      </c>
      <c r="J198" s="11" t="s">
        <v>136</v>
      </c>
      <c r="K198" s="11" t="s">
        <v>137</v>
      </c>
      <c r="L198" s="11"/>
      <c r="M198" s="11"/>
    </row>
    <row r="199" customFormat="false" ht="15" hidden="false" customHeight="false" outlineLevel="0" collapsed="false">
      <c r="A199" s="12" t="s">
        <v>1081</v>
      </c>
      <c r="B199" s="12" t="s">
        <v>994</v>
      </c>
      <c r="C199" s="12" t="s">
        <v>995</v>
      </c>
      <c r="D199" s="12" t="s">
        <v>1082</v>
      </c>
      <c r="E199" s="12" t="s">
        <v>1060</v>
      </c>
      <c r="F199" s="12" t="s">
        <v>1083</v>
      </c>
      <c r="G199" s="12" t="s">
        <v>142</v>
      </c>
      <c r="H199" s="12" t="s">
        <v>1084</v>
      </c>
      <c r="I199" s="12" t="s">
        <v>135</v>
      </c>
      <c r="J199" s="12" t="s">
        <v>136</v>
      </c>
      <c r="K199" s="12" t="s">
        <v>137</v>
      </c>
      <c r="L199" s="12"/>
      <c r="M199" s="12"/>
    </row>
    <row r="200" customFormat="false" ht="15" hidden="false" customHeight="false" outlineLevel="0" collapsed="false">
      <c r="A200" s="11" t="s">
        <v>1085</v>
      </c>
      <c r="B200" s="11" t="s">
        <v>1086</v>
      </c>
      <c r="C200" s="11" t="s">
        <v>1087</v>
      </c>
      <c r="D200" s="11" t="s">
        <v>1088</v>
      </c>
      <c r="E200" s="11" t="s">
        <v>399</v>
      </c>
      <c r="F200" s="11" t="s">
        <v>1089</v>
      </c>
      <c r="G200" s="11" t="s">
        <v>142</v>
      </c>
      <c r="H200" s="11" t="s">
        <v>401</v>
      </c>
      <c r="I200" s="11" t="s">
        <v>172</v>
      </c>
      <c r="J200" s="11" t="s">
        <v>136</v>
      </c>
      <c r="K200" s="11" t="s">
        <v>137</v>
      </c>
      <c r="L200" s="11"/>
      <c r="M200" s="11"/>
    </row>
    <row r="201" customFormat="false" ht="23.85" hidden="false" customHeight="false" outlineLevel="0" collapsed="false">
      <c r="A201" s="12" t="s">
        <v>1090</v>
      </c>
      <c r="B201" s="12" t="s">
        <v>1086</v>
      </c>
      <c r="C201" s="12" t="s">
        <v>1087</v>
      </c>
      <c r="D201" s="12" t="s">
        <v>1091</v>
      </c>
      <c r="E201" s="12" t="s">
        <v>1060</v>
      </c>
      <c r="F201" s="12" t="s">
        <v>1092</v>
      </c>
      <c r="G201" s="12" t="s">
        <v>142</v>
      </c>
      <c r="H201" s="12" t="s">
        <v>1093</v>
      </c>
      <c r="I201" s="12" t="s">
        <v>135</v>
      </c>
      <c r="J201" s="12" t="s">
        <v>136</v>
      </c>
      <c r="K201" s="12" t="s">
        <v>137</v>
      </c>
      <c r="L201" s="12"/>
      <c r="M201" s="12"/>
    </row>
    <row r="202" customFormat="false" ht="23.85" hidden="false" customHeight="false" outlineLevel="0" collapsed="false">
      <c r="A202" s="11" t="s">
        <v>1094</v>
      </c>
      <c r="B202" s="11" t="s">
        <v>1086</v>
      </c>
      <c r="C202" s="11" t="s">
        <v>1087</v>
      </c>
      <c r="D202" s="11" t="s">
        <v>1095</v>
      </c>
      <c r="E202" s="11" t="s">
        <v>1060</v>
      </c>
      <c r="F202" s="11" t="s">
        <v>1096</v>
      </c>
      <c r="G202" s="11" t="s">
        <v>142</v>
      </c>
      <c r="H202" s="11" t="s">
        <v>1097</v>
      </c>
      <c r="I202" s="11" t="s">
        <v>135</v>
      </c>
      <c r="J202" s="11" t="s">
        <v>136</v>
      </c>
      <c r="K202" s="11" t="s">
        <v>137</v>
      </c>
      <c r="L202" s="11"/>
      <c r="M202" s="11"/>
    </row>
    <row r="203" customFormat="false" ht="15" hidden="false" customHeight="false" outlineLevel="0" collapsed="false">
      <c r="A203" s="12" t="s">
        <v>1098</v>
      </c>
      <c r="B203" s="12" t="s">
        <v>1086</v>
      </c>
      <c r="C203" s="12" t="s">
        <v>1087</v>
      </c>
      <c r="D203" s="12" t="s">
        <v>1099</v>
      </c>
      <c r="E203" s="12" t="s">
        <v>1100</v>
      </c>
      <c r="F203" s="12" t="s">
        <v>1101</v>
      </c>
      <c r="G203" s="12" t="s">
        <v>142</v>
      </c>
      <c r="H203" s="12" t="s">
        <v>1102</v>
      </c>
      <c r="I203" s="12" t="s">
        <v>135</v>
      </c>
      <c r="J203" s="12" t="s">
        <v>136</v>
      </c>
      <c r="K203" s="12" t="s">
        <v>137</v>
      </c>
      <c r="L203" s="12"/>
      <c r="M203" s="12"/>
    </row>
    <row r="204" customFormat="false" ht="23.85" hidden="false" customHeight="false" outlineLevel="0" collapsed="false">
      <c r="A204" s="11" t="s">
        <v>1103</v>
      </c>
      <c r="B204" s="11" t="s">
        <v>1086</v>
      </c>
      <c r="C204" s="11" t="s">
        <v>1087</v>
      </c>
      <c r="D204" s="11" t="s">
        <v>1104</v>
      </c>
      <c r="E204" s="11" t="s">
        <v>1105</v>
      </c>
      <c r="F204" s="11" t="s">
        <v>1106</v>
      </c>
      <c r="G204" s="11" t="s">
        <v>142</v>
      </c>
      <c r="H204" s="11" t="s">
        <v>1107</v>
      </c>
      <c r="I204" s="11" t="s">
        <v>135</v>
      </c>
      <c r="J204" s="11" t="s">
        <v>136</v>
      </c>
      <c r="K204" s="11" t="s">
        <v>137</v>
      </c>
      <c r="L204" s="11"/>
      <c r="M204" s="11"/>
    </row>
    <row r="205" customFormat="false" ht="23.85" hidden="false" customHeight="false" outlineLevel="0" collapsed="false">
      <c r="A205" s="12" t="s">
        <v>1108</v>
      </c>
      <c r="B205" s="12" t="s">
        <v>1086</v>
      </c>
      <c r="C205" s="12" t="s">
        <v>1087</v>
      </c>
      <c r="D205" s="12" t="s">
        <v>1109</v>
      </c>
      <c r="E205" s="12" t="s">
        <v>1110</v>
      </c>
      <c r="F205" s="12" t="s">
        <v>1111</v>
      </c>
      <c r="G205" s="12" t="s">
        <v>142</v>
      </c>
      <c r="H205" s="12" t="s">
        <v>1112</v>
      </c>
      <c r="I205" s="12" t="s">
        <v>135</v>
      </c>
      <c r="J205" s="12" t="s">
        <v>136</v>
      </c>
      <c r="K205" s="12" t="s">
        <v>137</v>
      </c>
      <c r="L205" s="12"/>
      <c r="M205" s="12"/>
    </row>
    <row r="206" customFormat="false" ht="15" hidden="false" customHeight="false" outlineLevel="0" collapsed="false">
      <c r="A206" s="11" t="s">
        <v>1113</v>
      </c>
      <c r="B206" s="11" t="s">
        <v>1086</v>
      </c>
      <c r="C206" s="11" t="s">
        <v>1087</v>
      </c>
      <c r="D206" s="11" t="s">
        <v>1114</v>
      </c>
      <c r="E206" s="11" t="s">
        <v>1115</v>
      </c>
      <c r="F206" s="11" t="s">
        <v>1116</v>
      </c>
      <c r="G206" s="11" t="s">
        <v>142</v>
      </c>
      <c r="H206" s="11" t="s">
        <v>1117</v>
      </c>
      <c r="I206" s="11" t="s">
        <v>135</v>
      </c>
      <c r="J206" s="11" t="s">
        <v>136</v>
      </c>
      <c r="K206" s="11" t="s">
        <v>137</v>
      </c>
      <c r="L206" s="11"/>
      <c r="M206" s="11"/>
    </row>
    <row r="207" customFormat="false" ht="23.85" hidden="false" customHeight="false" outlineLevel="0" collapsed="false">
      <c r="A207" s="12" t="s">
        <v>1118</v>
      </c>
      <c r="B207" s="12" t="s">
        <v>1086</v>
      </c>
      <c r="C207" s="12" t="s">
        <v>1087</v>
      </c>
      <c r="D207" s="12" t="s">
        <v>1119</v>
      </c>
      <c r="E207" s="12" t="s">
        <v>1120</v>
      </c>
      <c r="F207" s="12" t="s">
        <v>1121</v>
      </c>
      <c r="G207" s="12" t="s">
        <v>142</v>
      </c>
      <c r="H207" s="12" t="s">
        <v>1122</v>
      </c>
      <c r="I207" s="12" t="s">
        <v>135</v>
      </c>
      <c r="J207" s="12" t="s">
        <v>136</v>
      </c>
      <c r="K207" s="12" t="s">
        <v>137</v>
      </c>
      <c r="L207" s="12"/>
      <c r="M207" s="12"/>
    </row>
    <row r="208" customFormat="false" ht="15" hidden="false" customHeight="false" outlineLevel="0" collapsed="false">
      <c r="A208" s="11" t="s">
        <v>1123</v>
      </c>
      <c r="B208" s="11" t="s">
        <v>1086</v>
      </c>
      <c r="C208" s="11" t="s">
        <v>1087</v>
      </c>
      <c r="D208" s="11" t="s">
        <v>1124</v>
      </c>
      <c r="E208" s="11" t="s">
        <v>1120</v>
      </c>
      <c r="F208" s="11" t="s">
        <v>1125</v>
      </c>
      <c r="G208" s="11" t="s">
        <v>142</v>
      </c>
      <c r="H208" s="11" t="s">
        <v>1126</v>
      </c>
      <c r="I208" s="11" t="s">
        <v>135</v>
      </c>
      <c r="J208" s="11" t="s">
        <v>136</v>
      </c>
      <c r="K208" s="11" t="s">
        <v>137</v>
      </c>
      <c r="L208" s="11"/>
      <c r="M208" s="11"/>
    </row>
    <row r="209" customFormat="false" ht="15" hidden="false" customHeight="false" outlineLevel="0" collapsed="false">
      <c r="A209" s="12" t="s">
        <v>1127</v>
      </c>
      <c r="B209" s="12" t="s">
        <v>1086</v>
      </c>
      <c r="C209" s="12" t="s">
        <v>1087</v>
      </c>
      <c r="D209" s="12" t="s">
        <v>1128</v>
      </c>
      <c r="E209" s="12" t="s">
        <v>1129</v>
      </c>
      <c r="F209" s="12" t="s">
        <v>1130</v>
      </c>
      <c r="G209" s="12" t="s">
        <v>142</v>
      </c>
      <c r="H209" s="12" t="s">
        <v>1131</v>
      </c>
      <c r="I209" s="12" t="s">
        <v>135</v>
      </c>
      <c r="J209" s="12" t="s">
        <v>136</v>
      </c>
      <c r="K209" s="12" t="s">
        <v>137</v>
      </c>
      <c r="L209" s="12"/>
      <c r="M209" s="12"/>
    </row>
    <row r="210" customFormat="false" ht="15" hidden="false" customHeight="false" outlineLevel="0" collapsed="false">
      <c r="A210" s="11" t="s">
        <v>1132</v>
      </c>
      <c r="B210" s="11" t="s">
        <v>1133</v>
      </c>
      <c r="C210" s="11" t="s">
        <v>87</v>
      </c>
      <c r="D210" s="11" t="s">
        <v>1134</v>
      </c>
      <c r="E210" s="11" t="s">
        <v>417</v>
      </c>
      <c r="F210" s="11" t="s">
        <v>1135</v>
      </c>
      <c r="G210" s="11" t="s">
        <v>142</v>
      </c>
      <c r="H210" s="11" t="s">
        <v>1136</v>
      </c>
      <c r="I210" s="11" t="s">
        <v>144</v>
      </c>
      <c r="J210" s="11" t="s">
        <v>136</v>
      </c>
      <c r="K210" s="11" t="s">
        <v>137</v>
      </c>
      <c r="L210" s="11"/>
      <c r="M210" s="11"/>
    </row>
    <row r="211" customFormat="false" ht="23.85" hidden="false" customHeight="false" outlineLevel="0" collapsed="false">
      <c r="A211" s="12" t="s">
        <v>1137</v>
      </c>
      <c r="B211" s="12" t="s">
        <v>1133</v>
      </c>
      <c r="C211" s="12" t="s">
        <v>87</v>
      </c>
      <c r="D211" s="12" t="s">
        <v>1138</v>
      </c>
      <c r="E211" s="12" t="s">
        <v>1139</v>
      </c>
      <c r="F211" s="12" t="s">
        <v>1140</v>
      </c>
      <c r="G211" s="12" t="s">
        <v>142</v>
      </c>
      <c r="H211" s="12" t="s">
        <v>1141</v>
      </c>
      <c r="I211" s="12" t="s">
        <v>172</v>
      </c>
      <c r="J211" s="12" t="s">
        <v>136</v>
      </c>
      <c r="K211" s="12" t="s">
        <v>137</v>
      </c>
      <c r="L211" s="12"/>
      <c r="M211" s="12"/>
    </row>
    <row r="212" customFormat="false" ht="15" hidden="false" customHeight="false" outlineLevel="0" collapsed="false">
      <c r="A212" s="11" t="s">
        <v>1142</v>
      </c>
      <c r="B212" s="11" t="s">
        <v>1133</v>
      </c>
      <c r="C212" s="11" t="s">
        <v>87</v>
      </c>
      <c r="D212" s="11" t="s">
        <v>1143</v>
      </c>
      <c r="E212" s="11" t="s">
        <v>1144</v>
      </c>
      <c r="F212" s="11" t="s">
        <v>1145</v>
      </c>
      <c r="G212" s="11" t="s">
        <v>142</v>
      </c>
      <c r="H212" s="11" t="s">
        <v>1146</v>
      </c>
      <c r="I212" s="11" t="s">
        <v>172</v>
      </c>
      <c r="J212" s="11" t="s">
        <v>136</v>
      </c>
      <c r="K212" s="11" t="s">
        <v>137</v>
      </c>
      <c r="L212" s="11"/>
      <c r="M212" s="11"/>
    </row>
    <row r="213" customFormat="false" ht="23.85" hidden="false" customHeight="false" outlineLevel="0" collapsed="false">
      <c r="A213" s="12" t="s">
        <v>1147</v>
      </c>
      <c r="B213" s="12" t="s">
        <v>1133</v>
      </c>
      <c r="C213" s="12" t="s">
        <v>87</v>
      </c>
      <c r="D213" s="12" t="s">
        <v>1148</v>
      </c>
      <c r="E213" s="12" t="s">
        <v>1149</v>
      </c>
      <c r="F213" s="12" t="s">
        <v>1150</v>
      </c>
      <c r="G213" s="12" t="s">
        <v>142</v>
      </c>
      <c r="H213" s="12" t="s">
        <v>1151</v>
      </c>
      <c r="I213" s="12" t="s">
        <v>172</v>
      </c>
      <c r="J213" s="12" t="s">
        <v>136</v>
      </c>
      <c r="K213" s="12" t="s">
        <v>137</v>
      </c>
      <c r="L213" s="12"/>
      <c r="M213" s="12"/>
    </row>
    <row r="214" customFormat="false" ht="23.85" hidden="false" customHeight="false" outlineLevel="0" collapsed="false">
      <c r="A214" s="11" t="s">
        <v>1152</v>
      </c>
      <c r="B214" s="11" t="s">
        <v>1133</v>
      </c>
      <c r="C214" s="11" t="s">
        <v>87</v>
      </c>
      <c r="D214" s="11" t="s">
        <v>1153</v>
      </c>
      <c r="E214" s="11" t="s">
        <v>417</v>
      </c>
      <c r="F214" s="11" t="s">
        <v>1154</v>
      </c>
      <c r="G214" s="11" t="s">
        <v>142</v>
      </c>
      <c r="H214" s="11" t="s">
        <v>1155</v>
      </c>
      <c r="I214" s="11" t="s">
        <v>144</v>
      </c>
      <c r="J214" s="11" t="s">
        <v>136</v>
      </c>
      <c r="K214" s="11" t="s">
        <v>137</v>
      </c>
      <c r="L214" s="11"/>
      <c r="M214" s="11"/>
    </row>
    <row r="215" customFormat="false" ht="23.85" hidden="false" customHeight="false" outlineLevel="0" collapsed="false">
      <c r="A215" s="12" t="s">
        <v>1156</v>
      </c>
      <c r="B215" s="12" t="s">
        <v>1133</v>
      </c>
      <c r="C215" s="12" t="s">
        <v>87</v>
      </c>
      <c r="D215" s="12" t="s">
        <v>1157</v>
      </c>
      <c r="E215" s="12" t="s">
        <v>1158</v>
      </c>
      <c r="F215" s="12" t="s">
        <v>1159</v>
      </c>
      <c r="G215" s="12" t="s">
        <v>142</v>
      </c>
      <c r="H215" s="12" t="s">
        <v>1160</v>
      </c>
      <c r="I215" s="12" t="s">
        <v>144</v>
      </c>
      <c r="J215" s="12" t="s">
        <v>136</v>
      </c>
      <c r="K215" s="12" t="s">
        <v>137</v>
      </c>
      <c r="L215" s="12"/>
      <c r="M215" s="12"/>
    </row>
    <row r="216" customFormat="false" ht="15" hidden="false" customHeight="false" outlineLevel="0" collapsed="false">
      <c r="A216" s="11" t="s">
        <v>1161</v>
      </c>
      <c r="B216" s="11" t="s">
        <v>1133</v>
      </c>
      <c r="C216" s="11" t="s">
        <v>87</v>
      </c>
      <c r="D216" s="11" t="s">
        <v>1162</v>
      </c>
      <c r="E216" s="11" t="s">
        <v>399</v>
      </c>
      <c r="F216" s="11" t="s">
        <v>1163</v>
      </c>
      <c r="G216" s="11" t="s">
        <v>142</v>
      </c>
      <c r="H216" s="11" t="s">
        <v>401</v>
      </c>
      <c r="I216" s="11" t="s">
        <v>172</v>
      </c>
      <c r="J216" s="11" t="s">
        <v>136</v>
      </c>
      <c r="K216" s="11" t="s">
        <v>137</v>
      </c>
      <c r="L216" s="11"/>
      <c r="M216" s="11"/>
    </row>
    <row r="217" customFormat="false" ht="15" hidden="false" customHeight="false" outlineLevel="0" collapsed="false">
      <c r="A217" s="12" t="s">
        <v>1164</v>
      </c>
      <c r="B217" s="12" t="s">
        <v>1165</v>
      </c>
      <c r="C217" s="12" t="s">
        <v>1166</v>
      </c>
      <c r="D217" s="12" t="s">
        <v>1167</v>
      </c>
      <c r="E217" s="12" t="s">
        <v>459</v>
      </c>
      <c r="F217" s="12" t="s">
        <v>746</v>
      </c>
      <c r="G217" s="12" t="s">
        <v>142</v>
      </c>
      <c r="H217" s="12" t="s">
        <v>1168</v>
      </c>
      <c r="I217" s="12" t="s">
        <v>144</v>
      </c>
      <c r="J217" s="12" t="s">
        <v>136</v>
      </c>
      <c r="K217" s="12" t="s">
        <v>137</v>
      </c>
      <c r="L217" s="12"/>
      <c r="M217" s="12"/>
    </row>
    <row r="218" customFormat="false" ht="15" hidden="false" customHeight="false" outlineLevel="0" collapsed="false">
      <c r="A218" s="11" t="s">
        <v>1169</v>
      </c>
      <c r="B218" s="11" t="s">
        <v>1165</v>
      </c>
      <c r="C218" s="11" t="s">
        <v>1166</v>
      </c>
      <c r="D218" s="11" t="s">
        <v>1170</v>
      </c>
      <c r="E218" s="11" t="s">
        <v>1171</v>
      </c>
      <c r="F218" s="11" t="s">
        <v>325</v>
      </c>
      <c r="G218" s="11" t="s">
        <v>142</v>
      </c>
      <c r="H218" s="11" t="s">
        <v>1172</v>
      </c>
      <c r="I218" s="11" t="s">
        <v>144</v>
      </c>
      <c r="J218" s="11" t="s">
        <v>136</v>
      </c>
      <c r="K218" s="11" t="s">
        <v>137</v>
      </c>
      <c r="L218" s="11"/>
      <c r="M218" s="11"/>
    </row>
    <row r="219" customFormat="false" ht="15" hidden="false" customHeight="false" outlineLevel="0" collapsed="false">
      <c r="A219" s="12" t="s">
        <v>1173</v>
      </c>
      <c r="B219" s="12" t="s">
        <v>1165</v>
      </c>
      <c r="C219" s="12" t="s">
        <v>1166</v>
      </c>
      <c r="D219" s="12" t="s">
        <v>1174</v>
      </c>
      <c r="E219" s="12" t="s">
        <v>1175</v>
      </c>
      <c r="F219" s="12" t="s">
        <v>1176</v>
      </c>
      <c r="G219" s="12" t="s">
        <v>142</v>
      </c>
      <c r="H219" s="12" t="s">
        <v>1177</v>
      </c>
      <c r="I219" s="12" t="s">
        <v>135</v>
      </c>
      <c r="J219" s="12" t="s">
        <v>136</v>
      </c>
      <c r="K219" s="12" t="s">
        <v>137</v>
      </c>
      <c r="L219" s="12"/>
      <c r="M219" s="12"/>
    </row>
    <row r="220" customFormat="false" ht="15" hidden="false" customHeight="false" outlineLevel="0" collapsed="false">
      <c r="A220" s="11" t="s">
        <v>1178</v>
      </c>
      <c r="B220" s="11" t="s">
        <v>1165</v>
      </c>
      <c r="C220" s="11" t="s">
        <v>1166</v>
      </c>
      <c r="D220" s="11" t="s">
        <v>1179</v>
      </c>
      <c r="E220" s="11" t="s">
        <v>1180</v>
      </c>
      <c r="F220" s="11" t="s">
        <v>1181</v>
      </c>
      <c r="G220" s="11" t="s">
        <v>142</v>
      </c>
      <c r="H220" s="11" t="s">
        <v>1182</v>
      </c>
      <c r="I220" s="11" t="s">
        <v>144</v>
      </c>
      <c r="J220" s="11" t="s">
        <v>136</v>
      </c>
      <c r="K220" s="11" t="s">
        <v>137</v>
      </c>
      <c r="L220" s="11"/>
      <c r="M220" s="11"/>
    </row>
    <row r="221" customFormat="false" ht="15" hidden="false" customHeight="false" outlineLevel="0" collapsed="false">
      <c r="A221" s="12" t="s">
        <v>1183</v>
      </c>
      <c r="B221" s="12" t="s">
        <v>1165</v>
      </c>
      <c r="C221" s="12" t="s">
        <v>1166</v>
      </c>
      <c r="D221" s="12" t="s">
        <v>1184</v>
      </c>
      <c r="E221" s="12" t="s">
        <v>1185</v>
      </c>
      <c r="F221" s="12" t="s">
        <v>1181</v>
      </c>
      <c r="G221" s="12" t="s">
        <v>142</v>
      </c>
      <c r="H221" s="12" t="s">
        <v>1186</v>
      </c>
      <c r="I221" s="12" t="s">
        <v>144</v>
      </c>
      <c r="J221" s="12" t="s">
        <v>136</v>
      </c>
      <c r="K221" s="12" t="s">
        <v>137</v>
      </c>
      <c r="L221" s="12"/>
      <c r="M221" s="12"/>
    </row>
    <row r="222" customFormat="false" ht="23.85" hidden="false" customHeight="false" outlineLevel="0" collapsed="false">
      <c r="A222" s="11" t="s">
        <v>1187</v>
      </c>
      <c r="B222" s="11" t="s">
        <v>1165</v>
      </c>
      <c r="C222" s="11" t="s">
        <v>1166</v>
      </c>
      <c r="D222" s="11" t="s">
        <v>1188</v>
      </c>
      <c r="E222" s="11" t="s">
        <v>1189</v>
      </c>
      <c r="F222" s="11" t="s">
        <v>1190</v>
      </c>
      <c r="G222" s="11" t="s">
        <v>142</v>
      </c>
      <c r="H222" s="11" t="s">
        <v>1191</v>
      </c>
      <c r="I222" s="11" t="s">
        <v>135</v>
      </c>
      <c r="J222" s="11" t="s">
        <v>136</v>
      </c>
      <c r="K222" s="11" t="s">
        <v>137</v>
      </c>
      <c r="L222" s="11"/>
      <c r="M222" s="11"/>
    </row>
    <row r="223" customFormat="false" ht="23.85" hidden="false" customHeight="false" outlineLevel="0" collapsed="false">
      <c r="A223" s="12" t="s">
        <v>1192</v>
      </c>
      <c r="B223" s="12" t="s">
        <v>1165</v>
      </c>
      <c r="C223" s="12" t="s">
        <v>1166</v>
      </c>
      <c r="D223" s="12" t="s">
        <v>1193</v>
      </c>
      <c r="E223" s="12" t="s">
        <v>1194</v>
      </c>
      <c r="F223" s="12" t="s">
        <v>1195</v>
      </c>
      <c r="G223" s="12" t="s">
        <v>142</v>
      </c>
      <c r="H223" s="12" t="s">
        <v>1196</v>
      </c>
      <c r="I223" s="12" t="s">
        <v>144</v>
      </c>
      <c r="J223" s="12" t="s">
        <v>173</v>
      </c>
      <c r="K223" s="12" t="s">
        <v>137</v>
      </c>
      <c r="L223" s="12"/>
      <c r="M223" s="12"/>
    </row>
  </sheetData>
  <autoFilter ref="A1:M223"/>
  <dataValidations count="1">
    <dataValidation allowBlank="false" errorStyle="stop" operator="between" showDropDown="false" showErrorMessage="false" showInputMessage="false" sqref="K2:K223" type="list">
      <formula1>"Pendiente,Aprobado,Fallido,No aplica,Bloqueado"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28"/>
    <col collapsed="false" customWidth="true" hidden="false" outlineLevel="0" max="6" min="6" style="0" width="4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5"/>
    <col collapsed="false" customWidth="true" hidden="false" outlineLevel="0" max="11" min="10" style="0" width="13"/>
    <col collapsed="false" customWidth="true" hidden="false" outlineLevel="0" max="12" min="12" style="0" width="22"/>
    <col collapsed="false" customWidth="true" hidden="false" outlineLevel="0" max="13" min="13" style="0" width="28"/>
  </cols>
  <sheetData>
    <row r="1" customFormat="false" ht="23.85" hidden="false" customHeight="false" outlineLevel="0" collapsed="false">
      <c r="A1" s="13" t="s">
        <v>114</v>
      </c>
      <c r="B1" s="13" t="s">
        <v>115</v>
      </c>
      <c r="C1" s="13" t="s">
        <v>116</v>
      </c>
      <c r="D1" s="13" t="s">
        <v>117</v>
      </c>
      <c r="E1" s="13" t="s">
        <v>118</v>
      </c>
      <c r="F1" s="13" t="s">
        <v>119</v>
      </c>
      <c r="G1" s="13" t="s">
        <v>120</v>
      </c>
      <c r="H1" s="13" t="s">
        <v>121</v>
      </c>
      <c r="I1" s="13" t="s">
        <v>122</v>
      </c>
      <c r="J1" s="13" t="s">
        <v>123</v>
      </c>
      <c r="K1" s="13" t="s">
        <v>124</v>
      </c>
      <c r="L1" s="13" t="s">
        <v>125</v>
      </c>
      <c r="M1" s="13" t="s">
        <v>126</v>
      </c>
    </row>
    <row r="2" customFormat="false" ht="23.85" hidden="false" customHeight="false" outlineLevel="0" collapsed="false">
      <c r="A2" s="11" t="s">
        <v>1197</v>
      </c>
      <c r="B2" s="11" t="s">
        <v>1198</v>
      </c>
      <c r="C2" s="11" t="s">
        <v>1199</v>
      </c>
      <c r="D2" s="11" t="s">
        <v>1200</v>
      </c>
      <c r="E2" s="11" t="s">
        <v>1201</v>
      </c>
      <c r="F2" s="11" t="s">
        <v>1202</v>
      </c>
      <c r="G2" s="11" t="s">
        <v>142</v>
      </c>
      <c r="H2" s="11" t="s">
        <v>1203</v>
      </c>
      <c r="I2" s="11" t="s">
        <v>135</v>
      </c>
      <c r="J2" s="11" t="s">
        <v>173</v>
      </c>
      <c r="K2" s="11" t="s">
        <v>137</v>
      </c>
      <c r="L2" s="11"/>
      <c r="M2" s="11"/>
    </row>
    <row r="3" customFormat="false" ht="15" hidden="false" customHeight="false" outlineLevel="0" collapsed="false">
      <c r="A3" s="12" t="s">
        <v>1204</v>
      </c>
      <c r="B3" s="12" t="s">
        <v>1198</v>
      </c>
      <c r="C3" s="12" t="s">
        <v>1199</v>
      </c>
      <c r="D3" s="12" t="s">
        <v>1205</v>
      </c>
      <c r="E3" s="12" t="s">
        <v>417</v>
      </c>
      <c r="F3" s="12" t="s">
        <v>1206</v>
      </c>
      <c r="G3" s="12" t="s">
        <v>142</v>
      </c>
      <c r="H3" s="12" t="s">
        <v>1207</v>
      </c>
      <c r="I3" s="12" t="s">
        <v>135</v>
      </c>
      <c r="J3" s="12" t="s">
        <v>173</v>
      </c>
      <c r="K3" s="12" t="s">
        <v>137</v>
      </c>
      <c r="L3" s="12"/>
      <c r="M3" s="12"/>
    </row>
    <row r="4" customFormat="false" ht="23.85" hidden="false" customHeight="false" outlineLevel="0" collapsed="false">
      <c r="A4" s="11" t="s">
        <v>1208</v>
      </c>
      <c r="B4" s="11" t="s">
        <v>1198</v>
      </c>
      <c r="C4" s="11" t="s">
        <v>1199</v>
      </c>
      <c r="D4" s="11" t="s">
        <v>1209</v>
      </c>
      <c r="E4" s="11" t="s">
        <v>1210</v>
      </c>
      <c r="F4" s="11" t="s">
        <v>1211</v>
      </c>
      <c r="G4" s="11" t="s">
        <v>1212</v>
      </c>
      <c r="H4" s="11" t="s">
        <v>1213</v>
      </c>
      <c r="I4" s="11" t="s">
        <v>144</v>
      </c>
      <c r="J4" s="11" t="s">
        <v>173</v>
      </c>
      <c r="K4" s="11" t="s">
        <v>137</v>
      </c>
      <c r="L4" s="11"/>
      <c r="M4" s="11"/>
    </row>
    <row r="5" customFormat="false" ht="23.85" hidden="false" customHeight="false" outlineLevel="0" collapsed="false">
      <c r="A5" s="12" t="s">
        <v>1214</v>
      </c>
      <c r="B5" s="12" t="s">
        <v>1198</v>
      </c>
      <c r="C5" s="12" t="s">
        <v>1215</v>
      </c>
      <c r="D5" s="12" t="s">
        <v>1216</v>
      </c>
      <c r="E5" s="12" t="s">
        <v>1217</v>
      </c>
      <c r="F5" s="12" t="s">
        <v>1218</v>
      </c>
      <c r="G5" s="12" t="s">
        <v>1219</v>
      </c>
      <c r="H5" s="12" t="s">
        <v>1220</v>
      </c>
      <c r="I5" s="12" t="s">
        <v>172</v>
      </c>
      <c r="J5" s="12" t="s">
        <v>173</v>
      </c>
      <c r="K5" s="12" t="s">
        <v>137</v>
      </c>
      <c r="L5" s="12"/>
      <c r="M5" s="12"/>
    </row>
    <row r="6" customFormat="false" ht="23.85" hidden="false" customHeight="false" outlineLevel="0" collapsed="false">
      <c r="A6" s="11" t="s">
        <v>1221</v>
      </c>
      <c r="B6" s="11" t="s">
        <v>1198</v>
      </c>
      <c r="C6" s="11" t="s">
        <v>1215</v>
      </c>
      <c r="D6" s="11" t="s">
        <v>1222</v>
      </c>
      <c r="E6" s="11" t="s">
        <v>1217</v>
      </c>
      <c r="F6" s="11" t="s">
        <v>1223</v>
      </c>
      <c r="G6" s="11" t="s">
        <v>1224</v>
      </c>
      <c r="H6" s="11" t="s">
        <v>1225</v>
      </c>
      <c r="I6" s="11" t="s">
        <v>172</v>
      </c>
      <c r="J6" s="11" t="s">
        <v>173</v>
      </c>
      <c r="K6" s="11" t="s">
        <v>137</v>
      </c>
      <c r="L6" s="11"/>
      <c r="M6" s="11"/>
    </row>
    <row r="7" customFormat="false" ht="23.85" hidden="false" customHeight="false" outlineLevel="0" collapsed="false">
      <c r="A7" s="12" t="s">
        <v>1226</v>
      </c>
      <c r="B7" s="12" t="s">
        <v>1198</v>
      </c>
      <c r="C7" s="12" t="s">
        <v>1215</v>
      </c>
      <c r="D7" s="12" t="s">
        <v>1227</v>
      </c>
      <c r="E7" s="12" t="s">
        <v>459</v>
      </c>
      <c r="F7" s="12" t="s">
        <v>1228</v>
      </c>
      <c r="G7" s="12" t="s">
        <v>142</v>
      </c>
      <c r="H7" s="12" t="s">
        <v>1229</v>
      </c>
      <c r="I7" s="12" t="s">
        <v>144</v>
      </c>
      <c r="J7" s="12" t="s">
        <v>173</v>
      </c>
      <c r="K7" s="12" t="s">
        <v>137</v>
      </c>
      <c r="L7" s="12"/>
      <c r="M7" s="12"/>
    </row>
    <row r="8" customFormat="false" ht="23.85" hidden="false" customHeight="false" outlineLevel="0" collapsed="false">
      <c r="A8" s="11" t="s">
        <v>1230</v>
      </c>
      <c r="B8" s="11" t="s">
        <v>1198</v>
      </c>
      <c r="C8" s="11" t="s">
        <v>1215</v>
      </c>
      <c r="D8" s="11" t="s">
        <v>328</v>
      </c>
      <c r="E8" s="11" t="s">
        <v>1231</v>
      </c>
      <c r="F8" s="11" t="s">
        <v>330</v>
      </c>
      <c r="G8" s="11" t="s">
        <v>142</v>
      </c>
      <c r="H8" s="11" t="s">
        <v>1232</v>
      </c>
      <c r="I8" s="11" t="s">
        <v>144</v>
      </c>
      <c r="J8" s="11" t="s">
        <v>173</v>
      </c>
      <c r="K8" s="11" t="s">
        <v>137</v>
      </c>
      <c r="L8" s="11"/>
      <c r="M8" s="11"/>
    </row>
    <row r="9" customFormat="false" ht="15" hidden="false" customHeight="false" outlineLevel="0" collapsed="false">
      <c r="A9" s="12" t="s">
        <v>1233</v>
      </c>
      <c r="B9" s="12" t="s">
        <v>1198</v>
      </c>
      <c r="C9" s="12" t="s">
        <v>1215</v>
      </c>
      <c r="D9" s="12" t="s">
        <v>1234</v>
      </c>
      <c r="E9" s="12" t="s">
        <v>1235</v>
      </c>
      <c r="F9" s="12" t="s">
        <v>1236</v>
      </c>
      <c r="G9" s="12" t="s">
        <v>142</v>
      </c>
      <c r="H9" s="12" t="s">
        <v>1237</v>
      </c>
      <c r="I9" s="12" t="s">
        <v>135</v>
      </c>
      <c r="J9" s="12" t="s">
        <v>173</v>
      </c>
      <c r="K9" s="12" t="s">
        <v>137</v>
      </c>
      <c r="L9" s="12"/>
      <c r="M9" s="12"/>
    </row>
    <row r="10" customFormat="false" ht="23.85" hidden="false" customHeight="false" outlineLevel="0" collapsed="false">
      <c r="A10" s="11" t="s">
        <v>1238</v>
      </c>
      <c r="B10" s="11" t="s">
        <v>1198</v>
      </c>
      <c r="C10" s="11" t="s">
        <v>1215</v>
      </c>
      <c r="D10" s="11" t="s">
        <v>1239</v>
      </c>
      <c r="E10" s="11" t="s">
        <v>1235</v>
      </c>
      <c r="F10" s="11" t="s">
        <v>1240</v>
      </c>
      <c r="G10" s="11" t="s">
        <v>142</v>
      </c>
      <c r="H10" s="11" t="s">
        <v>1241</v>
      </c>
      <c r="I10" s="11" t="s">
        <v>144</v>
      </c>
      <c r="J10" s="11" t="s">
        <v>173</v>
      </c>
      <c r="K10" s="11" t="s">
        <v>137</v>
      </c>
      <c r="L10" s="11"/>
      <c r="M10" s="11"/>
    </row>
    <row r="11" customFormat="false" ht="23.85" hidden="false" customHeight="false" outlineLevel="0" collapsed="false">
      <c r="A11" s="12" t="s">
        <v>1242</v>
      </c>
      <c r="B11" s="12" t="s">
        <v>1198</v>
      </c>
      <c r="C11" s="12" t="s">
        <v>1215</v>
      </c>
      <c r="D11" s="12" t="s">
        <v>1243</v>
      </c>
      <c r="E11" s="12" t="s">
        <v>142</v>
      </c>
      <c r="F11" s="12" t="s">
        <v>1244</v>
      </c>
      <c r="G11" s="12" t="s">
        <v>142</v>
      </c>
      <c r="H11" s="12" t="s">
        <v>1245</v>
      </c>
      <c r="I11" s="12" t="s">
        <v>144</v>
      </c>
      <c r="J11" s="12" t="s">
        <v>173</v>
      </c>
      <c r="K11" s="12" t="s">
        <v>137</v>
      </c>
      <c r="L11" s="12"/>
      <c r="M11" s="12"/>
    </row>
    <row r="12" customFormat="false" ht="15" hidden="false" customHeight="false" outlineLevel="0" collapsed="false">
      <c r="A12" s="11" t="s">
        <v>1246</v>
      </c>
      <c r="B12" s="11" t="s">
        <v>1198</v>
      </c>
      <c r="C12" s="11" t="s">
        <v>1215</v>
      </c>
      <c r="D12" s="11" t="s">
        <v>1247</v>
      </c>
      <c r="E12" s="11" t="s">
        <v>1248</v>
      </c>
      <c r="F12" s="11" t="s">
        <v>1249</v>
      </c>
      <c r="G12" s="11" t="s">
        <v>142</v>
      </c>
      <c r="H12" s="11" t="s">
        <v>1250</v>
      </c>
      <c r="I12" s="11" t="s">
        <v>135</v>
      </c>
      <c r="J12" s="11" t="s">
        <v>173</v>
      </c>
      <c r="K12" s="11" t="s">
        <v>137</v>
      </c>
      <c r="L12" s="11"/>
      <c r="M12" s="11"/>
    </row>
    <row r="13" customFormat="false" ht="15" hidden="false" customHeight="false" outlineLevel="0" collapsed="false">
      <c r="A13" s="12" t="s">
        <v>1251</v>
      </c>
      <c r="B13" s="12" t="s">
        <v>1198</v>
      </c>
      <c r="C13" s="12" t="s">
        <v>1252</v>
      </c>
      <c r="D13" s="12" t="s">
        <v>1253</v>
      </c>
      <c r="E13" s="12" t="s">
        <v>1254</v>
      </c>
      <c r="F13" s="12" t="s">
        <v>1255</v>
      </c>
      <c r="G13" s="12" t="s">
        <v>142</v>
      </c>
      <c r="H13" s="12" t="s">
        <v>1256</v>
      </c>
      <c r="I13" s="12" t="s">
        <v>135</v>
      </c>
      <c r="J13" s="12" t="s">
        <v>173</v>
      </c>
      <c r="K13" s="12" t="s">
        <v>137</v>
      </c>
      <c r="L13" s="12"/>
      <c r="M13" s="12"/>
    </row>
    <row r="14" customFormat="false" ht="23.85" hidden="false" customHeight="false" outlineLevel="0" collapsed="false">
      <c r="A14" s="11" t="s">
        <v>1257</v>
      </c>
      <c r="B14" s="11" t="s">
        <v>1198</v>
      </c>
      <c r="C14" s="11" t="s">
        <v>1252</v>
      </c>
      <c r="D14" s="11" t="s">
        <v>1258</v>
      </c>
      <c r="E14" s="11" t="s">
        <v>785</v>
      </c>
      <c r="F14" s="11" t="s">
        <v>1259</v>
      </c>
      <c r="G14" s="11" t="s">
        <v>142</v>
      </c>
      <c r="H14" s="11" t="s">
        <v>1260</v>
      </c>
      <c r="I14" s="11" t="s">
        <v>144</v>
      </c>
      <c r="J14" s="11" t="s">
        <v>136</v>
      </c>
      <c r="K14" s="11" t="s">
        <v>137</v>
      </c>
      <c r="L14" s="11"/>
      <c r="M14" s="11"/>
    </row>
    <row r="15" customFormat="false" ht="23.85" hidden="false" customHeight="false" outlineLevel="0" collapsed="false">
      <c r="A15" s="12" t="s">
        <v>1261</v>
      </c>
      <c r="B15" s="12" t="s">
        <v>1198</v>
      </c>
      <c r="C15" s="12" t="s">
        <v>1252</v>
      </c>
      <c r="D15" s="12" t="s">
        <v>1262</v>
      </c>
      <c r="E15" s="12" t="s">
        <v>399</v>
      </c>
      <c r="F15" s="12" t="s">
        <v>1263</v>
      </c>
      <c r="G15" s="12" t="s">
        <v>142</v>
      </c>
      <c r="H15" s="12" t="s">
        <v>1264</v>
      </c>
      <c r="I15" s="12" t="s">
        <v>135</v>
      </c>
      <c r="J15" s="12" t="s">
        <v>136</v>
      </c>
      <c r="K15" s="12" t="s">
        <v>137</v>
      </c>
      <c r="L15" s="12"/>
      <c r="M15" s="12"/>
    </row>
    <row r="16" customFormat="false" ht="15" hidden="false" customHeight="false" outlineLevel="0" collapsed="false">
      <c r="A16" s="11" t="s">
        <v>1265</v>
      </c>
      <c r="B16" s="11" t="s">
        <v>1266</v>
      </c>
      <c r="C16" s="11" t="s">
        <v>1267</v>
      </c>
      <c r="D16" s="11" t="s">
        <v>1268</v>
      </c>
      <c r="E16" s="11" t="s">
        <v>142</v>
      </c>
      <c r="F16" s="11" t="s">
        <v>1269</v>
      </c>
      <c r="G16" s="11" t="s">
        <v>142</v>
      </c>
      <c r="H16" s="11" t="s">
        <v>1270</v>
      </c>
      <c r="I16" s="11" t="s">
        <v>172</v>
      </c>
      <c r="J16" s="11" t="s">
        <v>173</v>
      </c>
      <c r="K16" s="11" t="s">
        <v>137</v>
      </c>
      <c r="L16" s="11"/>
      <c r="M16" s="11"/>
    </row>
    <row r="17" customFormat="false" ht="15" hidden="false" customHeight="false" outlineLevel="0" collapsed="false">
      <c r="A17" s="12" t="s">
        <v>1271</v>
      </c>
      <c r="B17" s="12" t="s">
        <v>1266</v>
      </c>
      <c r="C17" s="12" t="s">
        <v>1267</v>
      </c>
      <c r="D17" s="12" t="s">
        <v>1272</v>
      </c>
      <c r="E17" s="12" t="s">
        <v>1273</v>
      </c>
      <c r="F17" s="12" t="s">
        <v>1274</v>
      </c>
      <c r="G17" s="12" t="s">
        <v>142</v>
      </c>
      <c r="H17" s="12" t="s">
        <v>1275</v>
      </c>
      <c r="I17" s="12" t="s">
        <v>172</v>
      </c>
      <c r="J17" s="12" t="s">
        <v>173</v>
      </c>
      <c r="K17" s="12" t="s">
        <v>137</v>
      </c>
      <c r="L17" s="12"/>
      <c r="M17" s="12"/>
    </row>
    <row r="18" customFormat="false" ht="15" hidden="false" customHeight="false" outlineLevel="0" collapsed="false">
      <c r="A18" s="11" t="s">
        <v>1276</v>
      </c>
      <c r="B18" s="11" t="s">
        <v>1266</v>
      </c>
      <c r="C18" s="11" t="s">
        <v>1267</v>
      </c>
      <c r="D18" s="11" t="s">
        <v>1277</v>
      </c>
      <c r="E18" s="11" t="s">
        <v>413</v>
      </c>
      <c r="F18" s="11" t="s">
        <v>1278</v>
      </c>
      <c r="G18" s="11" t="s">
        <v>142</v>
      </c>
      <c r="H18" s="11" t="s">
        <v>1275</v>
      </c>
      <c r="I18" s="11" t="s">
        <v>172</v>
      </c>
      <c r="J18" s="11" t="s">
        <v>173</v>
      </c>
      <c r="K18" s="11" t="s">
        <v>137</v>
      </c>
      <c r="L18" s="11"/>
      <c r="M18" s="11"/>
    </row>
    <row r="19" customFormat="false" ht="15" hidden="false" customHeight="false" outlineLevel="0" collapsed="false">
      <c r="A19" s="12" t="s">
        <v>1279</v>
      </c>
      <c r="B19" s="12" t="s">
        <v>1266</v>
      </c>
      <c r="C19" s="12" t="s">
        <v>1267</v>
      </c>
      <c r="D19" s="12" t="s">
        <v>1280</v>
      </c>
      <c r="E19" s="12" t="s">
        <v>1281</v>
      </c>
      <c r="F19" s="12" t="s">
        <v>1282</v>
      </c>
      <c r="G19" s="12" t="s">
        <v>142</v>
      </c>
      <c r="H19" s="12" t="s">
        <v>1283</v>
      </c>
      <c r="I19" s="12" t="s">
        <v>172</v>
      </c>
      <c r="J19" s="12" t="s">
        <v>173</v>
      </c>
      <c r="K19" s="12" t="s">
        <v>137</v>
      </c>
      <c r="L19" s="12"/>
      <c r="M19" s="12"/>
    </row>
    <row r="20" customFormat="false" ht="15" hidden="false" customHeight="false" outlineLevel="0" collapsed="false">
      <c r="A20" s="11" t="s">
        <v>1284</v>
      </c>
      <c r="B20" s="11" t="s">
        <v>1266</v>
      </c>
      <c r="C20" s="11" t="s">
        <v>1285</v>
      </c>
      <c r="D20" s="11" t="s">
        <v>1286</v>
      </c>
      <c r="E20" s="11" t="s">
        <v>142</v>
      </c>
      <c r="F20" s="11" t="s">
        <v>1287</v>
      </c>
      <c r="G20" s="11" t="s">
        <v>1288</v>
      </c>
      <c r="H20" s="11" t="s">
        <v>1289</v>
      </c>
      <c r="I20" s="11" t="s">
        <v>144</v>
      </c>
      <c r="J20" s="11" t="s">
        <v>173</v>
      </c>
      <c r="K20" s="11" t="s">
        <v>137</v>
      </c>
      <c r="L20" s="11"/>
      <c r="M20" s="11"/>
    </row>
    <row r="21" customFormat="false" ht="15" hidden="false" customHeight="false" outlineLevel="0" collapsed="false">
      <c r="A21" s="12" t="s">
        <v>1290</v>
      </c>
      <c r="B21" s="12" t="s">
        <v>1266</v>
      </c>
      <c r="C21" s="12" t="s">
        <v>1285</v>
      </c>
      <c r="D21" s="12" t="s">
        <v>1291</v>
      </c>
      <c r="E21" s="12" t="s">
        <v>142</v>
      </c>
      <c r="F21" s="12" t="s">
        <v>1292</v>
      </c>
      <c r="G21" s="12" t="s">
        <v>142</v>
      </c>
      <c r="H21" s="12" t="s">
        <v>1289</v>
      </c>
      <c r="I21" s="12" t="s">
        <v>144</v>
      </c>
      <c r="J21" s="12" t="s">
        <v>173</v>
      </c>
      <c r="K21" s="12" t="s">
        <v>137</v>
      </c>
      <c r="L21" s="12"/>
      <c r="M21" s="12"/>
    </row>
    <row r="22" customFormat="false" ht="23.85" hidden="false" customHeight="false" outlineLevel="0" collapsed="false">
      <c r="A22" s="11" t="s">
        <v>1293</v>
      </c>
      <c r="B22" s="11" t="s">
        <v>1266</v>
      </c>
      <c r="C22" s="11" t="s">
        <v>1285</v>
      </c>
      <c r="D22" s="11" t="s">
        <v>1294</v>
      </c>
      <c r="E22" s="11" t="s">
        <v>1295</v>
      </c>
      <c r="F22" s="11" t="s">
        <v>1296</v>
      </c>
      <c r="G22" s="11" t="s">
        <v>142</v>
      </c>
      <c r="H22" s="11" t="s">
        <v>1297</v>
      </c>
      <c r="I22" s="11" t="s">
        <v>172</v>
      </c>
      <c r="J22" s="11" t="s">
        <v>173</v>
      </c>
      <c r="K22" s="11" t="s">
        <v>137</v>
      </c>
      <c r="L22" s="11"/>
      <c r="M22" s="11"/>
    </row>
    <row r="23" customFormat="false" ht="15" hidden="false" customHeight="false" outlineLevel="0" collapsed="false">
      <c r="A23" s="12" t="s">
        <v>1298</v>
      </c>
      <c r="B23" s="12" t="s">
        <v>1266</v>
      </c>
      <c r="C23" s="12" t="s">
        <v>1285</v>
      </c>
      <c r="D23" s="12" t="s">
        <v>1299</v>
      </c>
      <c r="E23" s="12" t="s">
        <v>1300</v>
      </c>
      <c r="F23" s="12" t="s">
        <v>1301</v>
      </c>
      <c r="G23" s="12" t="s">
        <v>142</v>
      </c>
      <c r="H23" s="12" t="s">
        <v>1302</v>
      </c>
      <c r="I23" s="12" t="s">
        <v>172</v>
      </c>
      <c r="J23" s="12" t="s">
        <v>173</v>
      </c>
      <c r="K23" s="12" t="s">
        <v>137</v>
      </c>
      <c r="L23" s="12"/>
      <c r="M23" s="12"/>
    </row>
    <row r="24" customFormat="false" ht="23.85" hidden="false" customHeight="false" outlineLevel="0" collapsed="false">
      <c r="A24" s="11" t="s">
        <v>1303</v>
      </c>
      <c r="B24" s="11" t="s">
        <v>1266</v>
      </c>
      <c r="C24" s="11" t="s">
        <v>1285</v>
      </c>
      <c r="D24" s="11" t="s">
        <v>1304</v>
      </c>
      <c r="E24" s="11" t="s">
        <v>142</v>
      </c>
      <c r="F24" s="11" t="s">
        <v>1305</v>
      </c>
      <c r="G24" s="11" t="s">
        <v>142</v>
      </c>
      <c r="H24" s="11" t="s">
        <v>1306</v>
      </c>
      <c r="I24" s="11" t="s">
        <v>172</v>
      </c>
      <c r="J24" s="11" t="s">
        <v>173</v>
      </c>
      <c r="K24" s="11" t="s">
        <v>137</v>
      </c>
      <c r="L24" s="11"/>
      <c r="M24" s="11"/>
    </row>
    <row r="25" customFormat="false" ht="15" hidden="false" customHeight="false" outlineLevel="0" collapsed="false">
      <c r="A25" s="12" t="s">
        <v>1307</v>
      </c>
      <c r="B25" s="12" t="s">
        <v>1266</v>
      </c>
      <c r="C25" s="12" t="s">
        <v>1285</v>
      </c>
      <c r="D25" s="12" t="s">
        <v>1308</v>
      </c>
      <c r="E25" s="12" t="s">
        <v>1309</v>
      </c>
      <c r="F25" s="12" t="s">
        <v>1310</v>
      </c>
      <c r="G25" s="12" t="s">
        <v>142</v>
      </c>
      <c r="H25" s="12" t="s">
        <v>1311</v>
      </c>
      <c r="I25" s="12" t="s">
        <v>172</v>
      </c>
      <c r="J25" s="12" t="s">
        <v>173</v>
      </c>
      <c r="K25" s="12" t="s">
        <v>137</v>
      </c>
      <c r="L25" s="12"/>
      <c r="M25" s="12"/>
    </row>
    <row r="26" customFormat="false" ht="23.85" hidden="false" customHeight="false" outlineLevel="0" collapsed="false">
      <c r="A26" s="11" t="s">
        <v>1312</v>
      </c>
      <c r="B26" s="11" t="s">
        <v>1266</v>
      </c>
      <c r="C26" s="11" t="s">
        <v>1285</v>
      </c>
      <c r="D26" s="11" t="s">
        <v>1313</v>
      </c>
      <c r="E26" s="11" t="s">
        <v>1254</v>
      </c>
      <c r="F26" s="11" t="s">
        <v>1314</v>
      </c>
      <c r="G26" s="11" t="s">
        <v>142</v>
      </c>
      <c r="H26" s="11" t="s">
        <v>1315</v>
      </c>
      <c r="I26" s="11" t="s">
        <v>135</v>
      </c>
      <c r="J26" s="11" t="s">
        <v>173</v>
      </c>
      <c r="K26" s="11" t="s">
        <v>137</v>
      </c>
      <c r="L26" s="11"/>
      <c r="M26" s="11"/>
    </row>
    <row r="27" customFormat="false" ht="23.85" hidden="false" customHeight="false" outlineLevel="0" collapsed="false">
      <c r="A27" s="12" t="s">
        <v>1316</v>
      </c>
      <c r="B27" s="12" t="s">
        <v>1266</v>
      </c>
      <c r="C27" s="12" t="s">
        <v>1317</v>
      </c>
      <c r="D27" s="12" t="s">
        <v>1318</v>
      </c>
      <c r="E27" s="12" t="s">
        <v>1254</v>
      </c>
      <c r="F27" s="12" t="s">
        <v>334</v>
      </c>
      <c r="G27" s="12" t="s">
        <v>142</v>
      </c>
      <c r="H27" s="12" t="s">
        <v>1319</v>
      </c>
      <c r="I27" s="12" t="s">
        <v>172</v>
      </c>
      <c r="J27" s="12" t="s">
        <v>173</v>
      </c>
      <c r="K27" s="12" t="s">
        <v>137</v>
      </c>
      <c r="L27" s="12"/>
      <c r="M27" s="12"/>
    </row>
    <row r="28" customFormat="false" ht="15" hidden="false" customHeight="false" outlineLevel="0" collapsed="false">
      <c r="A28" s="11" t="s">
        <v>1320</v>
      </c>
      <c r="B28" s="11" t="s">
        <v>1266</v>
      </c>
      <c r="C28" s="11" t="s">
        <v>1317</v>
      </c>
      <c r="D28" s="11" t="s">
        <v>1321</v>
      </c>
      <c r="E28" s="11" t="s">
        <v>1322</v>
      </c>
      <c r="F28" s="11" t="s">
        <v>1323</v>
      </c>
      <c r="G28" s="11" t="s">
        <v>142</v>
      </c>
      <c r="H28" s="11" t="s">
        <v>1324</v>
      </c>
      <c r="I28" s="11" t="s">
        <v>172</v>
      </c>
      <c r="J28" s="11" t="s">
        <v>136</v>
      </c>
      <c r="K28" s="11" t="s">
        <v>137</v>
      </c>
      <c r="L28" s="11"/>
      <c r="M28" s="11"/>
    </row>
    <row r="29" customFormat="false" ht="23.85" hidden="false" customHeight="false" outlineLevel="0" collapsed="false">
      <c r="A29" s="12" t="s">
        <v>1325</v>
      </c>
      <c r="B29" s="12" t="s">
        <v>1266</v>
      </c>
      <c r="C29" s="12" t="s">
        <v>1317</v>
      </c>
      <c r="D29" s="12" t="s">
        <v>1326</v>
      </c>
      <c r="E29" s="12" t="s">
        <v>1327</v>
      </c>
      <c r="F29" s="12" t="s">
        <v>1328</v>
      </c>
      <c r="G29" s="12" t="s">
        <v>142</v>
      </c>
      <c r="H29" s="12" t="s">
        <v>1329</v>
      </c>
      <c r="I29" s="12" t="s">
        <v>172</v>
      </c>
      <c r="J29" s="12" t="s">
        <v>136</v>
      </c>
      <c r="K29" s="12" t="s">
        <v>137</v>
      </c>
      <c r="L29" s="12"/>
      <c r="M29" s="12"/>
    </row>
    <row r="30" customFormat="false" ht="23.85" hidden="false" customHeight="false" outlineLevel="0" collapsed="false">
      <c r="A30" s="11" t="s">
        <v>1330</v>
      </c>
      <c r="B30" s="11" t="s">
        <v>1266</v>
      </c>
      <c r="C30" s="11" t="s">
        <v>1331</v>
      </c>
      <c r="D30" s="11" t="s">
        <v>1332</v>
      </c>
      <c r="E30" s="11" t="s">
        <v>1333</v>
      </c>
      <c r="F30" s="11" t="s">
        <v>1334</v>
      </c>
      <c r="G30" s="11" t="s">
        <v>142</v>
      </c>
      <c r="H30" s="11" t="s">
        <v>1335</v>
      </c>
      <c r="I30" s="11" t="s">
        <v>172</v>
      </c>
      <c r="J30" s="11" t="s">
        <v>136</v>
      </c>
      <c r="K30" s="11" t="s">
        <v>137</v>
      </c>
      <c r="L30" s="11"/>
      <c r="M30" s="11"/>
    </row>
    <row r="31" customFormat="false" ht="23.85" hidden="false" customHeight="false" outlineLevel="0" collapsed="false">
      <c r="A31" s="12" t="s">
        <v>1336</v>
      </c>
      <c r="B31" s="12" t="s">
        <v>1266</v>
      </c>
      <c r="C31" s="12" t="s">
        <v>1331</v>
      </c>
      <c r="D31" s="12" t="s">
        <v>1337</v>
      </c>
      <c r="E31" s="12" t="s">
        <v>1338</v>
      </c>
      <c r="F31" s="12" t="s">
        <v>1339</v>
      </c>
      <c r="G31" s="12" t="s">
        <v>142</v>
      </c>
      <c r="H31" s="12" t="s">
        <v>1340</v>
      </c>
      <c r="I31" s="12" t="s">
        <v>172</v>
      </c>
      <c r="J31" s="12" t="s">
        <v>136</v>
      </c>
      <c r="K31" s="12" t="s">
        <v>137</v>
      </c>
      <c r="L31" s="12"/>
      <c r="M31" s="12"/>
    </row>
    <row r="32" customFormat="false" ht="15" hidden="false" customHeight="false" outlineLevel="0" collapsed="false">
      <c r="A32" s="11" t="s">
        <v>1341</v>
      </c>
      <c r="B32" s="11" t="s">
        <v>1266</v>
      </c>
      <c r="C32" s="11" t="s">
        <v>1331</v>
      </c>
      <c r="D32" s="11" t="s">
        <v>1342</v>
      </c>
      <c r="E32" s="11" t="s">
        <v>1343</v>
      </c>
      <c r="F32" s="11" t="s">
        <v>1344</v>
      </c>
      <c r="G32" s="11" t="s">
        <v>142</v>
      </c>
      <c r="H32" s="11" t="s">
        <v>1345</v>
      </c>
      <c r="I32" s="11" t="s">
        <v>172</v>
      </c>
      <c r="J32" s="11" t="s">
        <v>173</v>
      </c>
      <c r="K32" s="11" t="s">
        <v>137</v>
      </c>
      <c r="L32" s="11"/>
      <c r="M32" s="11"/>
    </row>
    <row r="33" customFormat="false" ht="15" hidden="false" customHeight="false" outlineLevel="0" collapsed="false">
      <c r="A33" s="12" t="s">
        <v>1346</v>
      </c>
      <c r="B33" s="12" t="s">
        <v>1266</v>
      </c>
      <c r="C33" s="12" t="s">
        <v>1331</v>
      </c>
      <c r="D33" s="12" t="s">
        <v>1347</v>
      </c>
      <c r="E33" s="12" t="s">
        <v>1343</v>
      </c>
      <c r="F33" s="12" t="s">
        <v>1348</v>
      </c>
      <c r="G33" s="12" t="s">
        <v>142</v>
      </c>
      <c r="H33" s="12" t="s">
        <v>1349</v>
      </c>
      <c r="I33" s="12" t="s">
        <v>172</v>
      </c>
      <c r="J33" s="12" t="s">
        <v>173</v>
      </c>
      <c r="K33" s="12" t="s">
        <v>137</v>
      </c>
      <c r="L33" s="12"/>
      <c r="M33" s="12"/>
    </row>
    <row r="34" customFormat="false" ht="15" hidden="false" customHeight="false" outlineLevel="0" collapsed="false">
      <c r="A34" s="11" t="s">
        <v>1350</v>
      </c>
      <c r="B34" s="11" t="s">
        <v>1266</v>
      </c>
      <c r="C34" s="11" t="s">
        <v>1331</v>
      </c>
      <c r="D34" s="11" t="s">
        <v>1351</v>
      </c>
      <c r="E34" s="11" t="s">
        <v>1352</v>
      </c>
      <c r="F34" s="11" t="s">
        <v>1353</v>
      </c>
      <c r="G34" s="11" t="s">
        <v>142</v>
      </c>
      <c r="H34" s="11" t="s">
        <v>1354</v>
      </c>
      <c r="I34" s="11" t="s">
        <v>144</v>
      </c>
      <c r="J34" s="11" t="s">
        <v>136</v>
      </c>
      <c r="K34" s="11" t="s">
        <v>137</v>
      </c>
      <c r="L34" s="11"/>
      <c r="M34" s="11"/>
    </row>
    <row r="35" customFormat="false" ht="15" hidden="false" customHeight="false" outlineLevel="0" collapsed="false">
      <c r="A35" s="12" t="s">
        <v>1355</v>
      </c>
      <c r="B35" s="12" t="s">
        <v>1266</v>
      </c>
      <c r="C35" s="12" t="s">
        <v>1331</v>
      </c>
      <c r="D35" s="12" t="s">
        <v>1356</v>
      </c>
      <c r="E35" s="12" t="s">
        <v>1357</v>
      </c>
      <c r="F35" s="12" t="s">
        <v>1358</v>
      </c>
      <c r="G35" s="12" t="s">
        <v>142</v>
      </c>
      <c r="H35" s="12" t="s">
        <v>1359</v>
      </c>
      <c r="I35" s="12" t="s">
        <v>144</v>
      </c>
      <c r="J35" s="12" t="s">
        <v>136</v>
      </c>
      <c r="K35" s="12" t="s">
        <v>137</v>
      </c>
      <c r="L35" s="12"/>
      <c r="M35" s="12"/>
    </row>
    <row r="36" customFormat="false" ht="23.85" hidden="false" customHeight="false" outlineLevel="0" collapsed="false">
      <c r="A36" s="11" t="s">
        <v>1360</v>
      </c>
      <c r="B36" s="11" t="s">
        <v>1266</v>
      </c>
      <c r="C36" s="11" t="s">
        <v>1361</v>
      </c>
      <c r="D36" s="11" t="s">
        <v>1362</v>
      </c>
      <c r="E36" s="11" t="s">
        <v>1363</v>
      </c>
      <c r="F36" s="11" t="s">
        <v>1364</v>
      </c>
      <c r="G36" s="11" t="s">
        <v>142</v>
      </c>
      <c r="H36" s="11" t="s">
        <v>1365</v>
      </c>
      <c r="I36" s="11" t="s">
        <v>144</v>
      </c>
      <c r="J36" s="11" t="s">
        <v>136</v>
      </c>
      <c r="K36" s="11" t="s">
        <v>137</v>
      </c>
      <c r="L36" s="11"/>
      <c r="M36" s="11"/>
    </row>
    <row r="37" customFormat="false" ht="23.85" hidden="false" customHeight="false" outlineLevel="0" collapsed="false">
      <c r="A37" s="12" t="s">
        <v>1366</v>
      </c>
      <c r="B37" s="12" t="s">
        <v>1367</v>
      </c>
      <c r="C37" s="12" t="s">
        <v>1368</v>
      </c>
      <c r="D37" s="12" t="s">
        <v>1369</v>
      </c>
      <c r="E37" s="12" t="s">
        <v>181</v>
      </c>
      <c r="F37" s="12" t="s">
        <v>182</v>
      </c>
      <c r="G37" s="12" t="s">
        <v>142</v>
      </c>
      <c r="H37" s="12" t="s">
        <v>1370</v>
      </c>
      <c r="I37" s="12" t="s">
        <v>144</v>
      </c>
      <c r="J37" s="12" t="s">
        <v>136</v>
      </c>
      <c r="K37" s="12" t="s">
        <v>137</v>
      </c>
      <c r="L37" s="12"/>
      <c r="M37" s="12"/>
    </row>
    <row r="38" customFormat="false" ht="15" hidden="false" customHeight="false" outlineLevel="0" collapsed="false">
      <c r="A38" s="11" t="s">
        <v>1371</v>
      </c>
      <c r="B38" s="11" t="s">
        <v>1367</v>
      </c>
      <c r="C38" s="11" t="s">
        <v>1368</v>
      </c>
      <c r="D38" s="11" t="s">
        <v>1372</v>
      </c>
      <c r="E38" s="11" t="s">
        <v>1248</v>
      </c>
      <c r="F38" s="11" t="s">
        <v>1373</v>
      </c>
      <c r="G38" s="11" t="s">
        <v>142</v>
      </c>
      <c r="H38" s="11" t="s">
        <v>1374</v>
      </c>
      <c r="I38" s="11" t="s">
        <v>172</v>
      </c>
      <c r="J38" s="11" t="s">
        <v>173</v>
      </c>
      <c r="K38" s="11" t="s">
        <v>137</v>
      </c>
      <c r="L38" s="11"/>
      <c r="M38" s="11"/>
    </row>
    <row r="39" customFormat="false" ht="15" hidden="false" customHeight="false" outlineLevel="0" collapsed="false">
      <c r="A39" s="12" t="s">
        <v>1375</v>
      </c>
      <c r="B39" s="12" t="s">
        <v>1367</v>
      </c>
      <c r="C39" s="12" t="s">
        <v>1368</v>
      </c>
      <c r="D39" s="12" t="s">
        <v>1376</v>
      </c>
      <c r="E39" s="12" t="s">
        <v>1254</v>
      </c>
      <c r="F39" s="12" t="s">
        <v>1377</v>
      </c>
      <c r="G39" s="12" t="s">
        <v>142</v>
      </c>
      <c r="H39" s="12" t="s">
        <v>1378</v>
      </c>
      <c r="I39" s="12" t="s">
        <v>172</v>
      </c>
      <c r="J39" s="12" t="s">
        <v>173</v>
      </c>
      <c r="K39" s="12" t="s">
        <v>137</v>
      </c>
      <c r="L39" s="12"/>
      <c r="M39" s="12"/>
    </row>
    <row r="40" customFormat="false" ht="15" hidden="false" customHeight="false" outlineLevel="0" collapsed="false">
      <c r="A40" s="11" t="s">
        <v>1379</v>
      </c>
      <c r="B40" s="11" t="s">
        <v>1367</v>
      </c>
      <c r="C40" s="11" t="s">
        <v>1368</v>
      </c>
      <c r="D40" s="11" t="s">
        <v>1380</v>
      </c>
      <c r="E40" s="11" t="s">
        <v>1309</v>
      </c>
      <c r="F40" s="11" t="s">
        <v>1381</v>
      </c>
      <c r="G40" s="11" t="s">
        <v>142</v>
      </c>
      <c r="H40" s="11" t="s">
        <v>401</v>
      </c>
      <c r="I40" s="11" t="s">
        <v>172</v>
      </c>
      <c r="J40" s="11" t="s">
        <v>173</v>
      </c>
      <c r="K40" s="11" t="s">
        <v>137</v>
      </c>
      <c r="L40" s="11"/>
      <c r="M40" s="11"/>
    </row>
    <row r="41" customFormat="false" ht="23.85" hidden="false" customHeight="false" outlineLevel="0" collapsed="false">
      <c r="A41" s="12" t="s">
        <v>1382</v>
      </c>
      <c r="B41" s="12" t="s">
        <v>1367</v>
      </c>
      <c r="C41" s="12" t="s">
        <v>1368</v>
      </c>
      <c r="D41" s="12" t="s">
        <v>1383</v>
      </c>
      <c r="E41" s="12" t="s">
        <v>1309</v>
      </c>
      <c r="F41" s="12" t="s">
        <v>1384</v>
      </c>
      <c r="G41" s="12" t="s">
        <v>142</v>
      </c>
      <c r="H41" s="12" t="s">
        <v>1385</v>
      </c>
      <c r="I41" s="12" t="s">
        <v>172</v>
      </c>
      <c r="J41" s="12" t="s">
        <v>173</v>
      </c>
      <c r="K41" s="12" t="s">
        <v>137</v>
      </c>
      <c r="L41" s="12"/>
      <c r="M41" s="12"/>
    </row>
    <row r="42" customFormat="false" ht="15" hidden="false" customHeight="false" outlineLevel="0" collapsed="false">
      <c r="A42" s="11" t="s">
        <v>1386</v>
      </c>
      <c r="B42" s="11" t="s">
        <v>1367</v>
      </c>
      <c r="C42" s="11" t="s">
        <v>1368</v>
      </c>
      <c r="D42" s="11" t="s">
        <v>1387</v>
      </c>
      <c r="E42" s="11" t="s">
        <v>1388</v>
      </c>
      <c r="F42" s="11" t="s">
        <v>1389</v>
      </c>
      <c r="G42" s="11" t="s">
        <v>142</v>
      </c>
      <c r="H42" s="11" t="s">
        <v>1390</v>
      </c>
      <c r="I42" s="11" t="s">
        <v>135</v>
      </c>
      <c r="J42" s="11" t="s">
        <v>136</v>
      </c>
      <c r="K42" s="11" t="s">
        <v>137</v>
      </c>
      <c r="L42" s="11"/>
      <c r="M42" s="11"/>
    </row>
    <row r="43" customFormat="false" ht="23.85" hidden="false" customHeight="false" outlineLevel="0" collapsed="false">
      <c r="A43" s="12" t="s">
        <v>1391</v>
      </c>
      <c r="B43" s="12" t="s">
        <v>1367</v>
      </c>
      <c r="C43" s="12" t="s">
        <v>1368</v>
      </c>
      <c r="D43" s="12" t="s">
        <v>1392</v>
      </c>
      <c r="E43" s="12" t="s">
        <v>1393</v>
      </c>
      <c r="F43" s="12" t="s">
        <v>1394</v>
      </c>
      <c r="G43" s="12" t="s">
        <v>142</v>
      </c>
      <c r="H43" s="12" t="s">
        <v>1395</v>
      </c>
      <c r="I43" s="12" t="s">
        <v>144</v>
      </c>
      <c r="J43" s="12" t="s">
        <v>136</v>
      </c>
      <c r="K43" s="12" t="s">
        <v>137</v>
      </c>
      <c r="L43" s="12"/>
      <c r="M43" s="12"/>
    </row>
    <row r="44" customFormat="false" ht="23.85" hidden="false" customHeight="false" outlineLevel="0" collapsed="false">
      <c r="A44" s="11" t="s">
        <v>1396</v>
      </c>
      <c r="B44" s="11" t="s">
        <v>1367</v>
      </c>
      <c r="C44" s="11" t="s">
        <v>1368</v>
      </c>
      <c r="D44" s="11" t="s">
        <v>1397</v>
      </c>
      <c r="E44" s="11" t="s">
        <v>1398</v>
      </c>
      <c r="F44" s="11" t="s">
        <v>560</v>
      </c>
      <c r="G44" s="11" t="s">
        <v>142</v>
      </c>
      <c r="H44" s="11" t="s">
        <v>1399</v>
      </c>
      <c r="I44" s="11" t="s">
        <v>144</v>
      </c>
      <c r="J44" s="11" t="s">
        <v>136</v>
      </c>
      <c r="K44" s="11" t="s">
        <v>137</v>
      </c>
      <c r="L44" s="11"/>
      <c r="M44" s="11"/>
    </row>
    <row r="45" customFormat="false" ht="15" hidden="false" customHeight="false" outlineLevel="0" collapsed="false">
      <c r="A45" s="12" t="s">
        <v>1400</v>
      </c>
      <c r="B45" s="12" t="s">
        <v>1367</v>
      </c>
      <c r="C45" s="12" t="s">
        <v>1368</v>
      </c>
      <c r="D45" s="12" t="s">
        <v>1401</v>
      </c>
      <c r="E45" s="12" t="s">
        <v>1402</v>
      </c>
      <c r="F45" s="12" t="s">
        <v>1403</v>
      </c>
      <c r="G45" s="12" t="s">
        <v>142</v>
      </c>
      <c r="H45" s="12" t="s">
        <v>401</v>
      </c>
      <c r="I45" s="12" t="s">
        <v>144</v>
      </c>
      <c r="J45" s="12" t="s">
        <v>173</v>
      </c>
      <c r="K45" s="12" t="s">
        <v>137</v>
      </c>
      <c r="L45" s="12"/>
      <c r="M45" s="12"/>
    </row>
    <row r="46" customFormat="false" ht="15" hidden="false" customHeight="false" outlineLevel="0" collapsed="false">
      <c r="A46" s="11" t="s">
        <v>1404</v>
      </c>
      <c r="B46" s="11" t="s">
        <v>1405</v>
      </c>
      <c r="C46" s="11" t="s">
        <v>1406</v>
      </c>
      <c r="D46" s="11" t="s">
        <v>1407</v>
      </c>
      <c r="E46" s="11" t="s">
        <v>1254</v>
      </c>
      <c r="F46" s="11" t="s">
        <v>1408</v>
      </c>
      <c r="G46" s="11" t="s">
        <v>142</v>
      </c>
      <c r="H46" s="11" t="s">
        <v>1409</v>
      </c>
      <c r="I46" s="11" t="s">
        <v>135</v>
      </c>
      <c r="J46" s="11" t="s">
        <v>173</v>
      </c>
      <c r="K46" s="11" t="s">
        <v>137</v>
      </c>
      <c r="L46" s="11"/>
      <c r="M46" s="11"/>
    </row>
    <row r="47" customFormat="false" ht="15" hidden="false" customHeight="false" outlineLevel="0" collapsed="false">
      <c r="A47" s="12" t="s">
        <v>1410</v>
      </c>
      <c r="B47" s="12" t="s">
        <v>1405</v>
      </c>
      <c r="C47" s="12" t="s">
        <v>1406</v>
      </c>
      <c r="D47" s="12" t="s">
        <v>1411</v>
      </c>
      <c r="E47" s="12" t="s">
        <v>1254</v>
      </c>
      <c r="F47" s="12" t="s">
        <v>1412</v>
      </c>
      <c r="G47" s="12" t="s">
        <v>142</v>
      </c>
      <c r="H47" s="12" t="s">
        <v>1413</v>
      </c>
      <c r="I47" s="12" t="s">
        <v>135</v>
      </c>
      <c r="J47" s="12" t="s">
        <v>173</v>
      </c>
      <c r="K47" s="12" t="s">
        <v>137</v>
      </c>
      <c r="L47" s="12"/>
      <c r="M47" s="12"/>
    </row>
    <row r="48" customFormat="false" ht="15" hidden="false" customHeight="false" outlineLevel="0" collapsed="false">
      <c r="A48" s="11" t="s">
        <v>1414</v>
      </c>
      <c r="B48" s="11" t="s">
        <v>1405</v>
      </c>
      <c r="C48" s="11" t="s">
        <v>1406</v>
      </c>
      <c r="D48" s="11" t="s">
        <v>1415</v>
      </c>
      <c r="E48" s="11" t="s">
        <v>1254</v>
      </c>
      <c r="F48" s="11" t="s">
        <v>1416</v>
      </c>
      <c r="G48" s="11" t="s">
        <v>142</v>
      </c>
      <c r="H48" s="11" t="s">
        <v>1417</v>
      </c>
      <c r="I48" s="11" t="s">
        <v>734</v>
      </c>
      <c r="J48" s="11" t="s">
        <v>173</v>
      </c>
      <c r="K48" s="11" t="s">
        <v>137</v>
      </c>
      <c r="L48" s="11"/>
      <c r="M48" s="11"/>
    </row>
    <row r="49" customFormat="false" ht="15" hidden="false" customHeight="false" outlineLevel="0" collapsed="false">
      <c r="A49" s="12" t="s">
        <v>1418</v>
      </c>
      <c r="B49" s="12" t="s">
        <v>1405</v>
      </c>
      <c r="C49" s="12" t="s">
        <v>1406</v>
      </c>
      <c r="D49" s="12" t="s">
        <v>1419</v>
      </c>
      <c r="E49" s="12" t="s">
        <v>1254</v>
      </c>
      <c r="F49" s="12" t="s">
        <v>1420</v>
      </c>
      <c r="G49" s="12" t="s">
        <v>142</v>
      </c>
      <c r="H49" s="12" t="s">
        <v>1421</v>
      </c>
      <c r="I49" s="12" t="s">
        <v>135</v>
      </c>
      <c r="J49" s="12" t="s">
        <v>173</v>
      </c>
      <c r="K49" s="12" t="s">
        <v>137</v>
      </c>
      <c r="L49" s="12"/>
      <c r="M49" s="12"/>
    </row>
    <row r="50" customFormat="false" ht="23.85" hidden="false" customHeight="false" outlineLevel="0" collapsed="false">
      <c r="A50" s="11" t="s">
        <v>1422</v>
      </c>
      <c r="B50" s="11" t="s">
        <v>1405</v>
      </c>
      <c r="C50" s="11" t="s">
        <v>1406</v>
      </c>
      <c r="D50" s="11" t="s">
        <v>1423</v>
      </c>
      <c r="E50" s="11" t="s">
        <v>1254</v>
      </c>
      <c r="F50" s="11" t="s">
        <v>1424</v>
      </c>
      <c r="G50" s="11" t="s">
        <v>142</v>
      </c>
      <c r="H50" s="11" t="s">
        <v>1425</v>
      </c>
      <c r="I50" s="11" t="s">
        <v>135</v>
      </c>
      <c r="J50" s="11" t="s">
        <v>273</v>
      </c>
      <c r="K50" s="11" t="s">
        <v>137</v>
      </c>
      <c r="L50" s="11"/>
      <c r="M50" s="11"/>
    </row>
    <row r="51" customFormat="false" ht="15" hidden="false" customHeight="false" outlineLevel="0" collapsed="false">
      <c r="A51" s="12" t="s">
        <v>1426</v>
      </c>
      <c r="B51" s="12" t="s">
        <v>1405</v>
      </c>
      <c r="C51" s="12" t="s">
        <v>1406</v>
      </c>
      <c r="D51" s="12" t="s">
        <v>1427</v>
      </c>
      <c r="E51" s="12" t="s">
        <v>1254</v>
      </c>
      <c r="F51" s="12" t="s">
        <v>1428</v>
      </c>
      <c r="G51" s="12" t="s">
        <v>142</v>
      </c>
      <c r="H51" s="12" t="s">
        <v>1429</v>
      </c>
      <c r="I51" s="12" t="s">
        <v>135</v>
      </c>
      <c r="J51" s="12" t="s">
        <v>173</v>
      </c>
      <c r="K51" s="12" t="s">
        <v>137</v>
      </c>
      <c r="L51" s="12"/>
      <c r="M51" s="12"/>
    </row>
    <row r="52" customFormat="false" ht="15" hidden="false" customHeight="false" outlineLevel="0" collapsed="false">
      <c r="A52" s="11" t="s">
        <v>1430</v>
      </c>
      <c r="B52" s="11" t="s">
        <v>1405</v>
      </c>
      <c r="C52" s="11" t="s">
        <v>1406</v>
      </c>
      <c r="D52" s="11" t="s">
        <v>1431</v>
      </c>
      <c r="E52" s="11" t="s">
        <v>1254</v>
      </c>
      <c r="F52" s="11" t="s">
        <v>1432</v>
      </c>
      <c r="G52" s="11" t="s">
        <v>142</v>
      </c>
      <c r="H52" s="11" t="s">
        <v>1433</v>
      </c>
      <c r="I52" s="11" t="s">
        <v>135</v>
      </c>
      <c r="J52" s="11" t="s">
        <v>173</v>
      </c>
      <c r="K52" s="11" t="s">
        <v>137</v>
      </c>
      <c r="L52" s="11"/>
      <c r="M52" s="11"/>
    </row>
    <row r="53" customFormat="false" ht="15" hidden="false" customHeight="false" outlineLevel="0" collapsed="false">
      <c r="A53" s="12" t="s">
        <v>1434</v>
      </c>
      <c r="B53" s="12" t="s">
        <v>1405</v>
      </c>
      <c r="C53" s="12" t="s">
        <v>1406</v>
      </c>
      <c r="D53" s="12" t="s">
        <v>1435</v>
      </c>
      <c r="E53" s="12" t="s">
        <v>1254</v>
      </c>
      <c r="F53" s="12" t="s">
        <v>1436</v>
      </c>
      <c r="G53" s="12" t="s">
        <v>142</v>
      </c>
      <c r="H53" s="12" t="s">
        <v>1437</v>
      </c>
      <c r="I53" s="12" t="s">
        <v>135</v>
      </c>
      <c r="J53" s="12" t="s">
        <v>173</v>
      </c>
      <c r="K53" s="12" t="s">
        <v>137</v>
      </c>
      <c r="L53" s="12"/>
      <c r="M53" s="12"/>
    </row>
    <row r="54" customFormat="false" ht="15" hidden="false" customHeight="false" outlineLevel="0" collapsed="false">
      <c r="A54" s="11" t="s">
        <v>1438</v>
      </c>
      <c r="B54" s="11" t="s">
        <v>1405</v>
      </c>
      <c r="C54" s="11" t="s">
        <v>1406</v>
      </c>
      <c r="D54" s="11" t="s">
        <v>1439</v>
      </c>
      <c r="E54" s="11" t="s">
        <v>1254</v>
      </c>
      <c r="F54" s="11" t="s">
        <v>1440</v>
      </c>
      <c r="G54" s="11" t="s">
        <v>142</v>
      </c>
      <c r="H54" s="11" t="s">
        <v>1441</v>
      </c>
      <c r="I54" s="11" t="s">
        <v>135</v>
      </c>
      <c r="J54" s="11" t="s">
        <v>173</v>
      </c>
      <c r="K54" s="11" t="s">
        <v>137</v>
      </c>
      <c r="L54" s="11"/>
      <c r="M54" s="11"/>
    </row>
    <row r="55" customFormat="false" ht="15" hidden="false" customHeight="false" outlineLevel="0" collapsed="false">
      <c r="A55" s="12" t="s">
        <v>1442</v>
      </c>
      <c r="B55" s="12" t="s">
        <v>1405</v>
      </c>
      <c r="C55" s="12" t="s">
        <v>1406</v>
      </c>
      <c r="D55" s="12" t="s">
        <v>1443</v>
      </c>
      <c r="E55" s="12" t="s">
        <v>1254</v>
      </c>
      <c r="F55" s="12" t="s">
        <v>1444</v>
      </c>
      <c r="G55" s="12" t="s">
        <v>142</v>
      </c>
      <c r="H55" s="12" t="s">
        <v>1445</v>
      </c>
      <c r="I55" s="12" t="s">
        <v>135</v>
      </c>
      <c r="J55" s="12" t="s">
        <v>273</v>
      </c>
      <c r="K55" s="12" t="s">
        <v>137</v>
      </c>
      <c r="L55" s="12"/>
      <c r="M55" s="12"/>
    </row>
    <row r="56" customFormat="false" ht="15" hidden="false" customHeight="false" outlineLevel="0" collapsed="false">
      <c r="A56" s="11" t="s">
        <v>1446</v>
      </c>
      <c r="B56" s="11" t="s">
        <v>1405</v>
      </c>
      <c r="C56" s="11" t="s">
        <v>1406</v>
      </c>
      <c r="D56" s="11" t="s">
        <v>1447</v>
      </c>
      <c r="E56" s="11" t="s">
        <v>1254</v>
      </c>
      <c r="F56" s="11" t="s">
        <v>1236</v>
      </c>
      <c r="G56" s="11" t="s">
        <v>142</v>
      </c>
      <c r="H56" s="11" t="s">
        <v>1448</v>
      </c>
      <c r="I56" s="11" t="s">
        <v>734</v>
      </c>
      <c r="J56" s="11" t="s">
        <v>273</v>
      </c>
      <c r="K56" s="11" t="s">
        <v>137</v>
      </c>
      <c r="L56" s="11"/>
      <c r="M56" s="11"/>
    </row>
    <row r="57" customFormat="false" ht="15" hidden="false" customHeight="false" outlineLevel="0" collapsed="false">
      <c r="A57" s="12" t="s">
        <v>1449</v>
      </c>
      <c r="B57" s="12" t="s">
        <v>1405</v>
      </c>
      <c r="C57" s="12" t="s">
        <v>1406</v>
      </c>
      <c r="D57" s="12" t="s">
        <v>1450</v>
      </c>
      <c r="E57" s="12" t="s">
        <v>1254</v>
      </c>
      <c r="F57" s="12" t="s">
        <v>1451</v>
      </c>
      <c r="G57" s="12" t="s">
        <v>142</v>
      </c>
      <c r="H57" s="12" t="s">
        <v>1452</v>
      </c>
      <c r="I57" s="12" t="s">
        <v>135</v>
      </c>
      <c r="J57" s="12" t="s">
        <v>173</v>
      </c>
      <c r="K57" s="12" t="s">
        <v>137</v>
      </c>
      <c r="L57" s="12"/>
      <c r="M57" s="12"/>
    </row>
    <row r="58" customFormat="false" ht="15" hidden="false" customHeight="false" outlineLevel="0" collapsed="false">
      <c r="A58" s="11" t="s">
        <v>1453</v>
      </c>
      <c r="B58" s="11" t="s">
        <v>1405</v>
      </c>
      <c r="C58" s="11" t="s">
        <v>1406</v>
      </c>
      <c r="D58" s="11" t="s">
        <v>1454</v>
      </c>
      <c r="E58" s="11" t="s">
        <v>1254</v>
      </c>
      <c r="F58" s="11" t="s">
        <v>1455</v>
      </c>
      <c r="G58" s="11" t="s">
        <v>142</v>
      </c>
      <c r="H58" s="11" t="s">
        <v>1456</v>
      </c>
      <c r="I58" s="11" t="s">
        <v>135</v>
      </c>
      <c r="J58" s="11" t="s">
        <v>173</v>
      </c>
      <c r="K58" s="11" t="s">
        <v>137</v>
      </c>
      <c r="L58" s="11"/>
      <c r="M58" s="11"/>
    </row>
    <row r="59" customFormat="false" ht="15" hidden="false" customHeight="false" outlineLevel="0" collapsed="false">
      <c r="A59" s="12" t="s">
        <v>1457</v>
      </c>
      <c r="B59" s="12" t="s">
        <v>1405</v>
      </c>
      <c r="C59" s="12" t="s">
        <v>1406</v>
      </c>
      <c r="D59" s="12" t="s">
        <v>1458</v>
      </c>
      <c r="E59" s="12" t="s">
        <v>1254</v>
      </c>
      <c r="F59" s="12" t="s">
        <v>1459</v>
      </c>
      <c r="G59" s="12" t="s">
        <v>142</v>
      </c>
      <c r="H59" s="12" t="s">
        <v>1460</v>
      </c>
      <c r="I59" s="12" t="s">
        <v>144</v>
      </c>
      <c r="J59" s="12" t="s">
        <v>173</v>
      </c>
      <c r="K59" s="12" t="s">
        <v>137</v>
      </c>
      <c r="L59" s="12"/>
      <c r="M59" s="12"/>
    </row>
    <row r="60" customFormat="false" ht="15" hidden="false" customHeight="false" outlineLevel="0" collapsed="false">
      <c r="A60" s="11" t="s">
        <v>1461</v>
      </c>
      <c r="B60" s="11" t="s">
        <v>1405</v>
      </c>
      <c r="C60" s="11" t="s">
        <v>1406</v>
      </c>
      <c r="D60" s="11" t="s">
        <v>1462</v>
      </c>
      <c r="E60" s="11" t="s">
        <v>1254</v>
      </c>
      <c r="F60" s="11" t="s">
        <v>1463</v>
      </c>
      <c r="G60" s="11" t="s">
        <v>142</v>
      </c>
      <c r="H60" s="11" t="s">
        <v>1464</v>
      </c>
      <c r="I60" s="11" t="s">
        <v>135</v>
      </c>
      <c r="J60" s="11" t="s">
        <v>173</v>
      </c>
      <c r="K60" s="11" t="s">
        <v>137</v>
      </c>
      <c r="L60" s="11"/>
      <c r="M60" s="11"/>
    </row>
    <row r="61" customFormat="false" ht="15" hidden="false" customHeight="false" outlineLevel="0" collapsed="false">
      <c r="A61" s="12" t="s">
        <v>1465</v>
      </c>
      <c r="B61" s="12" t="s">
        <v>1405</v>
      </c>
      <c r="C61" s="12" t="s">
        <v>1406</v>
      </c>
      <c r="D61" s="12" t="s">
        <v>1466</v>
      </c>
      <c r="E61" s="12" t="s">
        <v>1254</v>
      </c>
      <c r="F61" s="12" t="s">
        <v>1467</v>
      </c>
      <c r="G61" s="12" t="s">
        <v>142</v>
      </c>
      <c r="H61" s="12" t="s">
        <v>1468</v>
      </c>
      <c r="I61" s="12" t="s">
        <v>135</v>
      </c>
      <c r="J61" s="12" t="s">
        <v>173</v>
      </c>
      <c r="K61" s="12" t="s">
        <v>137</v>
      </c>
      <c r="L61" s="12"/>
      <c r="M61" s="12"/>
    </row>
    <row r="62" customFormat="false" ht="15" hidden="false" customHeight="false" outlineLevel="0" collapsed="false">
      <c r="A62" s="11" t="s">
        <v>1469</v>
      </c>
      <c r="B62" s="11" t="s">
        <v>1405</v>
      </c>
      <c r="C62" s="11" t="s">
        <v>1406</v>
      </c>
      <c r="D62" s="11" t="s">
        <v>1470</v>
      </c>
      <c r="E62" s="11" t="s">
        <v>1254</v>
      </c>
      <c r="F62" s="11" t="s">
        <v>1471</v>
      </c>
      <c r="G62" s="11" t="s">
        <v>142</v>
      </c>
      <c r="H62" s="11" t="s">
        <v>1472</v>
      </c>
      <c r="I62" s="11" t="s">
        <v>135</v>
      </c>
      <c r="J62" s="11" t="s">
        <v>273</v>
      </c>
      <c r="K62" s="11" t="s">
        <v>137</v>
      </c>
      <c r="L62" s="11"/>
      <c r="M62" s="11"/>
    </row>
    <row r="63" customFormat="false" ht="23.85" hidden="false" customHeight="false" outlineLevel="0" collapsed="false">
      <c r="A63" s="12" t="s">
        <v>1473</v>
      </c>
      <c r="B63" s="12" t="s">
        <v>1405</v>
      </c>
      <c r="C63" s="12" t="s">
        <v>1406</v>
      </c>
      <c r="D63" s="12" t="s">
        <v>1474</v>
      </c>
      <c r="E63" s="12" t="s">
        <v>1254</v>
      </c>
      <c r="F63" s="12" t="s">
        <v>1475</v>
      </c>
      <c r="G63" s="12" t="s">
        <v>142</v>
      </c>
      <c r="H63" s="12" t="s">
        <v>1476</v>
      </c>
      <c r="I63" s="12" t="s">
        <v>135</v>
      </c>
      <c r="J63" s="12" t="s">
        <v>273</v>
      </c>
      <c r="K63" s="12" t="s">
        <v>137</v>
      </c>
      <c r="L63" s="12"/>
      <c r="M63" s="12"/>
    </row>
    <row r="64" customFormat="false" ht="23.85" hidden="false" customHeight="false" outlineLevel="0" collapsed="false">
      <c r="A64" s="11" t="s">
        <v>1477</v>
      </c>
      <c r="B64" s="11" t="s">
        <v>1405</v>
      </c>
      <c r="C64" s="11" t="s">
        <v>1406</v>
      </c>
      <c r="D64" s="11" t="s">
        <v>1478</v>
      </c>
      <c r="E64" s="11" t="s">
        <v>1254</v>
      </c>
      <c r="F64" s="11" t="s">
        <v>1479</v>
      </c>
      <c r="G64" s="11" t="s">
        <v>142</v>
      </c>
      <c r="H64" s="11" t="s">
        <v>1480</v>
      </c>
      <c r="I64" s="11" t="s">
        <v>135</v>
      </c>
      <c r="J64" s="11" t="s">
        <v>173</v>
      </c>
      <c r="K64" s="11" t="s">
        <v>137</v>
      </c>
      <c r="L64" s="11"/>
      <c r="M64" s="11"/>
    </row>
  </sheetData>
  <autoFilter ref="A1:M64"/>
  <dataValidations count="1">
    <dataValidation allowBlank="false" errorStyle="stop" operator="between" showDropDown="false" showErrorMessage="false" showInputMessage="false" sqref="K2:K64" type="list">
      <formula1>"Pendiente,Aprobado,Fallido,No aplica,Bloqueado"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24"/>
    <col collapsed="false" customWidth="true" hidden="false" outlineLevel="0" max="9" min="8" style="0" width="14"/>
    <col collapsed="false" customWidth="true" hidden="false" outlineLevel="0" max="10" min="10" style="0" width="34"/>
  </cols>
  <sheetData>
    <row r="1" customFormat="false" ht="23.85" hidden="false" customHeight="false" outlineLevel="0" collapsed="false">
      <c r="A1" s="13" t="s">
        <v>114</v>
      </c>
      <c r="B1" s="13" t="s">
        <v>1481</v>
      </c>
      <c r="C1" s="13" t="s">
        <v>1482</v>
      </c>
      <c r="D1" s="13" t="s">
        <v>1483</v>
      </c>
      <c r="E1" s="13" t="s">
        <v>1484</v>
      </c>
      <c r="F1" s="13" t="s">
        <v>1485</v>
      </c>
      <c r="G1" s="13" t="s">
        <v>1486</v>
      </c>
      <c r="H1" s="13" t="s">
        <v>1487</v>
      </c>
      <c r="I1" s="13" t="s">
        <v>1488</v>
      </c>
      <c r="J1" s="13" t="s">
        <v>1489</v>
      </c>
    </row>
    <row r="2" customFormat="false" ht="15" hidden="false" customHeight="false" outlineLevel="0" collapsed="false">
      <c r="A2" s="12" t="s">
        <v>1490</v>
      </c>
      <c r="B2" s="12" t="s">
        <v>1491</v>
      </c>
      <c r="C2" s="12" t="s">
        <v>1492</v>
      </c>
      <c r="D2" s="12" t="s">
        <v>135</v>
      </c>
      <c r="E2" s="12" t="s">
        <v>136</v>
      </c>
      <c r="F2" s="12"/>
      <c r="G2" s="12" t="s">
        <v>136</v>
      </c>
      <c r="H2" s="12" t="s">
        <v>1493</v>
      </c>
      <c r="I2" s="12"/>
      <c r="J2" s="12"/>
    </row>
  </sheetData>
  <dataValidations count="2">
    <dataValidation allowBlank="true" errorStyle="stop" operator="between" showDropDown="false" showErrorMessage="false" showInputMessage="false" sqref="D2:D400" type="list">
      <formula1>"Bloqueante,Crítico,Mayor,Menor"</formula1>
      <formula2>0</formula2>
    </dataValidation>
    <dataValidation allowBlank="true" errorStyle="stop" operator="between" showDropDown="false" showErrorMessage="false" showInputMessage="false" sqref="H2:H400" type="list">
      <formula1>"Abierto,En corrección,Corregido,Verificado,Descartado"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2026-08-22T03:44:36Z</dcterms:created>
  <dc:creator>openpyxl</dc:creator>
  <dc:description/>
  <dc:language>en-US</dc:language>
  <cp:lastModifiedBy/>
  <dcterms:modified xsi:type="dcterms:W3CDTF">2026-08-22T03:44:36Z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